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рівняння версій" sheetId="1" state="visible" r:id="rId3"/>
    <sheet name="A — GTM (€89)" sheetId="2" state="visible" r:id="rId4"/>
    <sheet name="Б — Консерв. (€69)" sheetId="3" state="visible" r:id="rId5"/>
    <sheet name="В — PRO Flag. (€159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<sst xmlns="http://schemas.openxmlformats.org/spreadsheetml/2006/main" count="788" uniqueCount="228">
  <si>
    <t xml:space="preserve">BauPreis AI — ПОРІВНЯННЯ ТРЬОХ ARPA ВЕРСІЙ × 3 МАРКЕТИНГОВИХ СЦЕНАРІЇ</t>
  </si>
  <si>
    <t xml:space="preserve">OPEX €2,444.60/міс (FACT) · Churn 7% · Старт Квітень 2026 · Horizon M12 = Березень 2027</t>
  </si>
  <si>
    <t xml:space="preserve">Версія A: GTM Baseline BASIS 60%/PRO 40% → ARPA €89  |  Версія Б: Консервативна BASIS 80%/PRO 20% → ARPA €69  |  Версія В: PRO Flagship PRO 60% → ARPA €159</t>
  </si>
  <si>
    <t xml:space="preserve">Показник / M12</t>
  </si>
  <si>
    <t xml:space="preserve">A-GTM · Сц.A €0</t>
  </si>
  <si>
    <t xml:space="preserve">A-GTM · Сц.C €1K ⭐</t>
  </si>
  <si>
    <t xml:space="preserve">Б-Консерв · Сц.A €0</t>
  </si>
  <si>
    <t xml:space="preserve">Б-Консерв · Сц.C €1K</t>
  </si>
  <si>
    <t xml:space="preserve">В-Flagship · Сц.C €1K</t>
  </si>
  <si>
    <t xml:space="preserve">ARPA gross</t>
  </si>
  <si>
    <t xml:space="preserve">€89</t>
  </si>
  <si>
    <t xml:space="preserve">€69</t>
  </si>
  <si>
    <t xml:space="preserve">€159</t>
  </si>
  <si>
    <t xml:space="preserve">ARPA net (після Stripe)</t>
  </si>
  <si>
    <t xml:space="preserve">€87.50</t>
  </si>
  <si>
    <t xml:space="preserve">€67.78</t>
  </si>
  <si>
    <t xml:space="preserve">€156.52</t>
  </si>
  <si>
    <t xml:space="preserve">Клієнти на M12</t>
  </si>
  <si>
    <t xml:space="preserve">56</t>
  </si>
  <si>
    <t xml:space="preserve">92</t>
  </si>
  <si>
    <t xml:space="preserve">MRR net на M12</t>
  </si>
  <si>
    <t xml:space="preserve">€4,900</t>
  </si>
  <si>
    <t xml:space="preserve">€8,050</t>
  </si>
  <si>
    <t xml:space="preserve">€3,796</t>
  </si>
  <si>
    <t xml:space="preserve">€6,236</t>
  </si>
  <si>
    <t xml:space="preserve">€14,400</t>
  </si>
  <si>
    <t xml:space="preserve">Кум. результат Y1</t>
  </si>
  <si>
    <t xml:space="preserve">€-2,209</t>
  </si>
  <si>
    <t xml:space="preserve">€9,155</t>
  </si>
  <si>
    <t xml:space="preserve">€-8,322</t>
  </si>
  <si>
    <t xml:space="preserve">€-2,224</t>
  </si>
  <si>
    <t xml:space="preserve">€48,979</t>
  </si>
  <si>
    <t xml:space="preserve">Окупність (monthly)</t>
  </si>
  <si>
    <t xml:space="preserve">Лис 26</t>
  </si>
  <si>
    <t xml:space="preserve">Вер 26</t>
  </si>
  <si>
    <t xml:space="preserve">Гру 26</t>
  </si>
  <si>
    <t xml:space="preserve">Жов 26</t>
  </si>
  <si>
    <t xml:space="preserve">Лип 26</t>
  </si>
  <si>
    <t xml:space="preserve">Окупність (кум.)</t>
  </si>
  <si>
    <t xml:space="preserve">Поза горизонтом</t>
  </si>
  <si>
    <t xml:space="preserve">Січ 27</t>
  </si>
  <si>
    <t xml:space="preserve">LTV</t>
  </si>
  <si>
    <t xml:space="preserve">€1,250</t>
  </si>
  <si>
    <t xml:space="preserve">€968</t>
  </si>
  <si>
    <t xml:space="preserve">€2,236</t>
  </si>
  <si>
    <t xml:space="preserve">Необхідне фінансування</t>
  </si>
  <si>
    <t xml:space="preserve">€2,209</t>
  </si>
  <si>
    <t xml:space="preserve">Самофін. ✅</t>
  </si>
  <si>
    <t xml:space="preserve">€8,322</t>
  </si>
  <si>
    <t xml:space="preserve">€2,224</t>
  </si>
  <si>
    <t xml:space="preserve">РЕКОМЕНДАЦІЯ ТА ВИСНОВКИ</t>
  </si>
  <si>
    <t xml:space="preserve">Основна модель для операційного планування</t>
  </si>
  <si>
    <t xml:space="preserve">Версія A (GTM Baseline, ARPA €89) — підтверджена GTM стратегією та breakeven аналізом. Сценарій C (€1K маркетинг) — оптимум.</t>
  </si>
  <si>
    <t xml:space="preserve">Оптимальний маркетинговий сценарій ⭐</t>
  </si>
  <si>
    <t xml:space="preserve">Сценарій C €1,000/міс: 92 клієнти M12, рік прибутковий +€10,018, окупність M6 Вересень 2026.</t>
  </si>
  <si>
    <t xml:space="preserve">Фазований маркетинг (рекомендовано GTM)</t>
  </si>
  <si>
    <t xml:space="preserve">M1-M3: €500/міс → M4-M5: €800/міс → M6+: €1,000/міс → M9+: €1,500/міс після підтвердження CAC.</t>
  </si>
  <si>
    <t xml:space="preserve">Яка ARPA реальна — дізнаємось з місяця 1</t>
  </si>
  <si>
    <t xml:space="preserve">Якщо Pro conversion &lt;40% → ARPA ближча до €69. Якщо Pro &gt;50% → до €159. Моніторити tier split щомісяця.</t>
  </si>
  <si>
    <t xml:space="preserve">Break-even без зарплат (лише OPEX €444.60)</t>
  </si>
  <si>
    <t xml:space="preserve">5 клієнтів при ARPA €89 покривають чисту операційну частину. Але для виплат команди потрібно 28 клієнтів.</t>
  </si>
  <si>
    <t xml:space="preserve">BauPreis AI — Financial Model | GTM Baseline | ARPA €89/міс | OPEX €2444.60/міс</t>
  </si>
  <si>
    <t xml:space="preserve">Горизонт: Квітень 2026 — Березень 2027  |  BASIS 60% · PRO 40% · Team 0%  |  Churn 7%</t>
  </si>
  <si>
    <t xml:space="preserve">1. КЛЮЧОВІ ПРИПУЩЕННЯ</t>
  </si>
  <si>
    <t xml:space="preserve">Параметр</t>
  </si>
  <si>
    <t xml:space="preserve">Значення</t>
  </si>
  <si>
    <t xml:space="preserve">Тип</t>
  </si>
  <si>
    <t xml:space="preserve">Джерело / Примітка</t>
  </si>
  <si>
    <t xml:space="preserve">Basis ціна</t>
  </si>
  <si>
    <t xml:space="preserve">€49/міс</t>
  </si>
  <si>
    <t xml:space="preserve">[FACT]</t>
  </si>
  <si>
    <t xml:space="preserve">baupreis.ais152.com</t>
  </si>
  <si>
    <t xml:space="preserve">Pro ціна</t>
  </si>
  <si>
    <t xml:space="preserve">€149/міс</t>
  </si>
  <si>
    <t xml:space="preserve">Team ціна</t>
  </si>
  <si>
    <t xml:space="preserve">€299/міс</t>
  </si>
  <si>
    <t xml:space="preserve">Basis розподіл</t>
  </si>
  <si>
    <t xml:space="preserve">60%</t>
  </si>
  <si>
    <t xml:space="preserve">GTM Strategy / Дослідження ринку</t>
  </si>
  <si>
    <t xml:space="preserve">Pro розподіл</t>
  </si>
  <si>
    <t xml:space="preserve">40%</t>
  </si>
  <si>
    <t xml:space="preserve">Team розподіл</t>
  </si>
  <si>
    <t xml:space="preserve">0%</t>
  </si>
  <si>
    <t xml:space="preserve">€89/міс</t>
  </si>
  <si>
    <t xml:space="preserve">[CALCULATION]</t>
  </si>
  <si>
    <t xml:space="preserve">49×60%+149×40%+299×0%</t>
  </si>
  <si>
    <t xml:space="preserve">Stripe комісія</t>
  </si>
  <si>
    <t xml:space="preserve">1.4% + €0.25</t>
  </si>
  <si>
    <t xml:space="preserve">Stripe EU картки</t>
  </si>
  <si>
    <t xml:space="preserve">ARPA net</t>
  </si>
  <si>
    <t xml:space="preserve">€87.50/міс</t>
  </si>
  <si>
    <t xml:space="preserve">ARPA gross − Stripe</t>
  </si>
  <si>
    <t xml:space="preserve">Trial→Paid конверсія</t>
  </si>
  <si>
    <t xml:space="preserve">17.5%</t>
  </si>
  <si>
    <t xml:space="preserve">GTM документ — гіпотеза від M1</t>
  </si>
  <si>
    <t xml:space="preserve">Churn щомісячний</t>
  </si>
  <si>
    <t xml:space="preserve">7%</t>
  </si>
  <si>
    <t xml:space="preserve">GTM документ — target &lt;7%</t>
  </si>
  <si>
    <t xml:space="preserve">Avg Customer Lifetime</t>
  </si>
  <si>
    <t xml:space="preserve">14.3 міс</t>
  </si>
  <si>
    <t xml:space="preserve">1 ÷ 7%</t>
  </si>
  <si>
    <t xml:space="preserve">€87.50 × 14.3 міс</t>
  </si>
  <si>
    <t xml:space="preserve">Break-even клієнтів</t>
  </si>
  <si>
    <t xml:space="preserve">27 клієнтів</t>
  </si>
  <si>
    <t xml:space="preserve">€2444.60 ÷ €89</t>
  </si>
  <si>
    <t xml:space="preserve">Старт монетизації</t>
  </si>
  <si>
    <t xml:space="preserve">Квітень 2026</t>
  </si>
  <si>
    <t xml:space="preserve">Запуск платежів 15 березня 2026</t>
  </si>
  <si>
    <t xml:space="preserve">2. СТРУКТУРА ВИТРАТ (€/міс) — OPEX €2,444.60</t>
  </si>
  <si>
    <t xml:space="preserve">Категорія</t>
  </si>
  <si>
    <t xml:space="preserve">€/міс</t>
  </si>
  <si>
    <t xml:space="preserve">€/рік</t>
  </si>
  <si>
    <t xml:space="preserve">Джерело</t>
  </si>
  <si>
    <t xml:space="preserve">Сервер Hetzner</t>
  </si>
  <si>
    <t xml:space="preserve">[FACT/BENCHMARK]</t>
  </si>
  <si>
    <t xml:space="preserve">Хост + домен</t>
  </si>
  <si>
    <t xml:space="preserve">Email сервіс</t>
  </si>
  <si>
    <t xml:space="preserve">Claude API</t>
  </si>
  <si>
    <t xml:space="preserve">HubSpot Starter</t>
  </si>
  <si>
    <t xml:space="preserve">[FACT — GTM]</t>
  </si>
  <si>
    <t xml:space="preserve">Apollo.io</t>
  </si>
  <si>
    <t xml:space="preserve">Sales Navigator</t>
  </si>
  <si>
    <t xml:space="preserve">Бухгалтерія (Steuerberater)</t>
  </si>
  <si>
    <t xml:space="preserve">[BENCHMARK]</t>
  </si>
  <si>
    <t xml:space="preserve">Банк (Wise Business)</t>
  </si>
  <si>
    <t xml:space="preserve">CEO+CTO (net, part-time DE)</t>
  </si>
  <si>
    <t xml:space="preserve">Product Lead (net, ФОП UA)</t>
  </si>
  <si>
    <t xml:space="preserve">Розробник (max 10год/міс)</t>
  </si>
  <si>
    <t xml:space="preserve">ЗАГАЛЬНИЙ BURN RATE / OPEX</t>
  </si>
  <si>
    <t xml:space="preserve">3. ONE-TIME ВИТРАТИ — Березень 2026 (до старту) | Разом €2,830</t>
  </si>
  <si>
    <t xml:space="preserve">Стаття</t>
  </si>
  <si>
    <t xml:space="preserve">€</t>
  </si>
  <si>
    <t xml:space="preserve">Примітка</t>
  </si>
  <si>
    <t xml:space="preserve">Виставка Кельн — реєстрація</t>
  </si>
  <si>
    <t xml:space="preserve">Виставка Кельн — готель</t>
  </si>
  <si>
    <t xml:space="preserve">Виставка Кельн — їжа</t>
  </si>
  <si>
    <t xml:space="preserve">[ASSUMPTION]</t>
  </si>
  <si>
    <t xml:space="preserve">Помічник носій мови (3 дні)</t>
  </si>
  <si>
    <t xml:space="preserve">Матеріали виставки</t>
  </si>
  <si>
    <t xml:space="preserve">Реклама LinkedIn</t>
  </si>
  <si>
    <t xml:space="preserve">[FACT — max]</t>
  </si>
  <si>
    <t xml:space="preserve">Реєстрація Selbständigkeit</t>
  </si>
  <si>
    <t xml:space="preserve">Консультація Steuerberater</t>
  </si>
  <si>
    <t xml:space="preserve">РАЗОМ ONE-TIME</t>
  </si>
  <si>
    <t xml:space="preserve">4.1  Сценарій A: €0/міс — Органіка  |  Окупність: M8 Листопад 2026</t>
  </si>
  <si>
    <t xml:space="preserve">Показник</t>
  </si>
  <si>
    <t xml:space="preserve">Кві 26</t>
  </si>
  <si>
    <t xml:space="preserve">Тра 26</t>
  </si>
  <si>
    <t xml:space="preserve">Чер 26</t>
  </si>
  <si>
    <t xml:space="preserve">Сер 26</t>
  </si>
  <si>
    <t xml:space="preserve">Лют 27</t>
  </si>
  <si>
    <t xml:space="preserve">Бер 27</t>
  </si>
  <si>
    <t xml:space="preserve">РАЗОМ/Avg</t>
  </si>
  <si>
    <t xml:space="preserve">Нові клієнти</t>
  </si>
  <si>
    <t xml:space="preserve">Активні клієнти</t>
  </si>
  <si>
    <t xml:space="preserve">MRR gross (€)</t>
  </si>
  <si>
    <t xml:space="preserve">Stripe (€)</t>
  </si>
  <si>
    <t xml:space="preserve">MRR net (€)</t>
  </si>
  <si>
    <t xml:space="preserve">Маркетинг бюджет (€)</t>
  </si>
  <si>
    <t xml:space="preserve">OPEX (€)</t>
  </si>
  <si>
    <t xml:space="preserve">Surplus/міс (€)</t>
  </si>
  <si>
    <t xml:space="preserve">Кумулятивно (€)</t>
  </si>
  <si>
    <t xml:space="preserve">M12: 56 клієнтів · MRR net €4,900 · Кум. результат €-2,209 · Break-even (кум.): Поза горизонтом</t>
  </si>
  <si>
    <t xml:space="preserve">4.2  Сценарій B: €500/міс — Тест  |  Окупність: M7 Жовтень 2026</t>
  </si>
  <si>
    <t xml:space="preserve">M12: 72 клієнтів · MRR net €6,300 · Кум. результат €2,117 · Break-even (кум.): Бер 27</t>
  </si>
  <si>
    <t xml:space="preserve">4.3  Сценарій C: €1,000/міс — Оптимум ⭐  |  Окупність: M6 Вересень 2026 ⭐</t>
  </si>
  <si>
    <t xml:space="preserve">M12: 92 клієнтів · MRR net €8,050 · Кум. результат €9,155 · Break-even (кум.): Січ 27</t>
  </si>
  <si>
    <t xml:space="preserve">5. UNIT ECONOMICS</t>
  </si>
  <si>
    <t xml:space="preserve">Метрика</t>
  </si>
  <si>
    <t xml:space="preserve">Формула / Примітка</t>
  </si>
  <si>
    <t xml:space="preserve">BASIS×60%+PRO×40%+Team×0%</t>
  </si>
  <si>
    <t xml:space="preserve">ARPA gross − Stripe (1.4%+€0.25)</t>
  </si>
  <si>
    <t xml:space="preserve">€87.50 ÷ 7% churn</t>
  </si>
  <si>
    <t xml:space="preserve">CAC (виставка)</t>
  </si>
  <si>
    <t xml:space="preserve">€354</t>
  </si>
  <si>
    <t xml:space="preserve">€2,830 one-time ÷ ~8 клієнтів</t>
  </si>
  <si>
    <t xml:space="preserve">LTV/CAC</t>
  </si>
  <si>
    <t xml:space="preserve">3.5x ✅</t>
  </si>
  <si>
    <t xml:space="preserve">&gt;3x healthy · &gt;5x excellent</t>
  </si>
  <si>
    <t xml:space="preserve">Payback Period</t>
  </si>
  <si>
    <t xml:space="preserve">4.0 міс ✅</t>
  </si>
  <si>
    <t xml:space="preserve">CAC ÷ ARPA net. Target &lt;12 міс</t>
  </si>
  <si>
    <t xml:space="preserve">27</t>
  </si>
  <si>
    <t xml:space="preserve">€2444.60 ÷ €89 ARPA</t>
  </si>
  <si>
    <t xml:space="preserve">Max CAC (LTV÷3)</t>
  </si>
  <si>
    <t xml:space="preserve">€417</t>
  </si>
  <si>
    <t xml:space="preserve">Мінімальний здоровий LTV/CAC порогу</t>
  </si>
  <si>
    <t xml:space="preserve">Gross Margin</t>
  </si>
  <si>
    <t xml:space="preserve">~85%</t>
  </si>
  <si>
    <t xml:space="preserve">Типовий B2B SaaS з низьким infra [BENCHMARK]</t>
  </si>
  <si>
    <t xml:space="preserve">BauPreis AI — Financial Model | Консервативна | ARPA €69/міс | OPEX €2444.60/міс</t>
  </si>
  <si>
    <t xml:space="preserve">Горизонт: Квітень 2026 — Березень 2027  |  BASIS 80% · PRO 20% · Team 0%  |  Churn 7%</t>
  </si>
  <si>
    <t xml:space="preserve">80%</t>
  </si>
  <si>
    <t xml:space="preserve">20%</t>
  </si>
  <si>
    <t xml:space="preserve">€69/міс</t>
  </si>
  <si>
    <t xml:space="preserve">49×80%+149×20%+299×0%</t>
  </si>
  <si>
    <t xml:space="preserve">€67.78/міс</t>
  </si>
  <si>
    <t xml:space="preserve">€67.78 × 14.3 міс</t>
  </si>
  <si>
    <t xml:space="preserve">35 клієнтів</t>
  </si>
  <si>
    <t xml:space="preserve">€2444.60 ÷ €69</t>
  </si>
  <si>
    <t xml:space="preserve">M12: 56 клієнтів · MRR net €3,796 · Кум. результат €-8,322 · Break-even (кум.): Поза горизонтом</t>
  </si>
  <si>
    <t xml:space="preserve">M12: 72 клієнтів · MRR net €4,880 · Кум. результат €-6,324 · Break-even (кум.): Поза горизонтом</t>
  </si>
  <si>
    <t xml:space="preserve">M12: 92 клієнтів · MRR net €6,236 · Кум. результат €-2,224 · Break-even (кум.): Поза горизонтом</t>
  </si>
  <si>
    <t xml:space="preserve">BASIS×80%+PRO×20%+Team×0%</t>
  </si>
  <si>
    <t xml:space="preserve">€67.78 ÷ 7% churn</t>
  </si>
  <si>
    <t xml:space="preserve">2.7x ⚠️</t>
  </si>
  <si>
    <t xml:space="preserve">5.2 міс ✅</t>
  </si>
  <si>
    <t xml:space="preserve">35</t>
  </si>
  <si>
    <t xml:space="preserve">€2444.60 ÷ €69 ARPA</t>
  </si>
  <si>
    <t xml:space="preserve">€323</t>
  </si>
  <si>
    <t xml:space="preserve">BauPreis AI — Financial Model | PRO Flagship | ARPA €159/міс | OPEX €2444.60/міс</t>
  </si>
  <si>
    <t xml:space="preserve">Горизонт: Квітень 2026 — Березень 2027  |  BASIS 20% · PRO 60% · Team 20%  |  Churn 7%</t>
  </si>
  <si>
    <t xml:space="preserve">€159/міс</t>
  </si>
  <si>
    <t xml:space="preserve">49×20%+149×60%+299×20%</t>
  </si>
  <si>
    <t xml:space="preserve">€156.52/міс</t>
  </si>
  <si>
    <t xml:space="preserve">€156.52 × 14.3 міс</t>
  </si>
  <si>
    <t xml:space="preserve">15 клієнтів</t>
  </si>
  <si>
    <t xml:space="preserve">€2444.60 ÷ €159</t>
  </si>
  <si>
    <t xml:space="preserve">M12: 56 клієнтів · MRR net €8,765 · Кум. результат €19,187 · Break-even (кум.): Гру 26</t>
  </si>
  <si>
    <t xml:space="preserve">M12: 72 клієнтів · MRR net €11,270 · Кум. результат €31,657 · Break-even (кум.): Жов 26</t>
  </si>
  <si>
    <t xml:space="preserve">M12: 92 клієнтів · MRR net €14,400 · Кум. результат €48,979 · Break-even (кум.): Вер 26</t>
  </si>
  <si>
    <t xml:space="preserve">BASIS×20%+PRO×60%+Team×20%</t>
  </si>
  <si>
    <t xml:space="preserve">€156.52 ÷ 7% churn</t>
  </si>
  <si>
    <t xml:space="preserve">6.3x ✅</t>
  </si>
  <si>
    <t xml:space="preserve">2.3 міс ✅</t>
  </si>
  <si>
    <t xml:space="preserve">15</t>
  </si>
  <si>
    <t xml:space="preserve">€2444.60 ÷ €159 ARPA</t>
  </si>
  <si>
    <t xml:space="preserve">€745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</si>
</sst>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€#,##0"/>
    <numFmt numFmtId="166" formatCode="\€#,##0.00"/>
    <numFmt numFmtId="167" formatCode="0"/>
    <numFmt numFmtId="168" formatCode="\€#,##0;&quot;(€&quot;#,##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9"/>
      <color rgb="FF555555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333399"/>
      </patternFill>
    </fill>
    <fill>
      <patternFill patternType="solid">
        <fgColor rgb="FF4A86C8"/>
        <bgColor rgb="FF2E5FA3"/>
      </patternFill>
    </fill>
    <fill>
      <patternFill patternType="solid">
        <fgColor rgb="FFF2F2F2"/>
        <bgColor rgb="FFE2EFDA"/>
      </patternFill>
    </fill>
    <fill>
      <patternFill patternType="solid">
        <fgColor rgb="FFD6E4F0"/>
        <bgColor rgb="FFE2EFDA"/>
      </patternFill>
    </fill>
    <fill>
      <patternFill patternType="solid">
        <fgColor rgb="FFFDDDD8"/>
        <bgColor rgb="FFFCE4D6"/>
      </patternFill>
    </fill>
    <fill>
      <patternFill patternType="solid">
        <fgColor rgb="FFFCE4D6"/>
        <bgColor rgb="FFFDDDD8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1E7145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3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9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3" fillId="9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1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3" fillId="1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8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3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4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4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2E5FA3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DDDD8"/>
      <rgbColor rgb="FF4A86C8"/>
      <rgbColor rgb="FF33CCCC"/>
      <rgbColor rgb="FF99CC00"/>
      <rgbColor rgb="FFFFCC00"/>
      <rgbColor rgb="FFFF9900"/>
      <rgbColor rgb="FFED7D31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3.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8" hidden="false" customHeight="true" outlineLevel="0" collapsed="false">
      <c r="A6" s="5" t="s">
        <v>9</v>
      </c>
      <c r="B6" s="6" t="s">
        <v>10</v>
      </c>
      <c r="C6" s="6" t="s">
        <v>10</v>
      </c>
      <c r="D6" s="7" t="s">
        <v>11</v>
      </c>
      <c r="E6" s="8" t="s">
        <v>11</v>
      </c>
      <c r="F6" s="9" t="s">
        <v>12</v>
      </c>
    </row>
    <row r="7" customFormat="false" ht="18" hidden="false" customHeight="true" outlineLevel="0" collapsed="false">
      <c r="A7" s="5" t="s">
        <v>13</v>
      </c>
      <c r="B7" s="6" t="s">
        <v>14</v>
      </c>
      <c r="C7" s="6" t="s">
        <v>14</v>
      </c>
      <c r="D7" s="7" t="s">
        <v>15</v>
      </c>
      <c r="E7" s="8" t="s">
        <v>15</v>
      </c>
      <c r="F7" s="9" t="s">
        <v>16</v>
      </c>
    </row>
    <row r="8" customFormat="false" ht="18" hidden="false" customHeight="true" outlineLevel="0" collapsed="false">
      <c r="A8" s="10" t="s">
        <v>17</v>
      </c>
      <c r="B8" s="6" t="s">
        <v>18</v>
      </c>
      <c r="C8" s="6" t="s">
        <v>19</v>
      </c>
      <c r="D8" s="7" t="s">
        <v>18</v>
      </c>
      <c r="E8" s="8" t="s">
        <v>19</v>
      </c>
      <c r="F8" s="9" t="s">
        <v>19</v>
      </c>
    </row>
    <row r="9" customFormat="false" ht="18" hidden="false" customHeight="true" outlineLevel="0" collapsed="false">
      <c r="A9" s="11" t="s">
        <v>20</v>
      </c>
      <c r="B9" s="6" t="s">
        <v>21</v>
      </c>
      <c r="C9" s="6" t="s">
        <v>22</v>
      </c>
      <c r="D9" s="7" t="s">
        <v>23</v>
      </c>
      <c r="E9" s="8" t="s">
        <v>24</v>
      </c>
      <c r="F9" s="9" t="s">
        <v>25</v>
      </c>
    </row>
    <row r="10" customFormat="false" ht="18" hidden="false" customHeight="true" outlineLevel="0" collapsed="false">
      <c r="A10" s="5" t="s">
        <v>26</v>
      </c>
      <c r="B10" s="12" t="s">
        <v>27</v>
      </c>
      <c r="C10" s="6" t="s">
        <v>28</v>
      </c>
      <c r="D10" s="13" t="s">
        <v>29</v>
      </c>
      <c r="E10" s="14" t="s">
        <v>30</v>
      </c>
      <c r="F10" s="9" t="s">
        <v>31</v>
      </c>
    </row>
    <row r="11" customFormat="false" ht="18" hidden="false" customHeight="true" outlineLevel="0" collapsed="false">
      <c r="A11" s="15" t="s">
        <v>32</v>
      </c>
      <c r="B11" s="6" t="s">
        <v>33</v>
      </c>
      <c r="C11" s="6" t="s">
        <v>34</v>
      </c>
      <c r="D11" s="7" t="s">
        <v>35</v>
      </c>
      <c r="E11" s="8" t="s">
        <v>36</v>
      </c>
      <c r="F11" s="9" t="s">
        <v>37</v>
      </c>
    </row>
    <row r="12" customFormat="false" ht="18" hidden="false" customHeight="true" outlineLevel="0" collapsed="false">
      <c r="A12" s="15" t="s">
        <v>38</v>
      </c>
      <c r="B12" s="6" t="s">
        <v>39</v>
      </c>
      <c r="C12" s="6" t="s">
        <v>40</v>
      </c>
      <c r="D12" s="7" t="s">
        <v>39</v>
      </c>
      <c r="E12" s="8" t="s">
        <v>39</v>
      </c>
      <c r="F12" s="9" t="s">
        <v>34</v>
      </c>
    </row>
    <row r="13" customFormat="false" ht="18" hidden="false" customHeight="true" outlineLevel="0" collapsed="false">
      <c r="A13" s="10" t="s">
        <v>41</v>
      </c>
      <c r="B13" s="6" t="s">
        <v>42</v>
      </c>
      <c r="C13" s="6" t="s">
        <v>42</v>
      </c>
      <c r="D13" s="7" t="s">
        <v>43</v>
      </c>
      <c r="E13" s="8" t="s">
        <v>43</v>
      </c>
      <c r="F13" s="9" t="s">
        <v>44</v>
      </c>
    </row>
    <row r="14" customFormat="false" ht="18" hidden="false" customHeight="true" outlineLevel="0" collapsed="false">
      <c r="A14" s="16" t="s">
        <v>45</v>
      </c>
      <c r="B14" s="6" t="s">
        <v>46</v>
      </c>
      <c r="C14" s="17" t="s">
        <v>47</v>
      </c>
      <c r="D14" s="7" t="s">
        <v>48</v>
      </c>
      <c r="E14" s="8" t="s">
        <v>49</v>
      </c>
      <c r="F14" s="18" t="s">
        <v>47</v>
      </c>
    </row>
    <row r="16" customFormat="false" ht="19.5" hidden="false" customHeight="true" outlineLevel="0" collapsed="false">
      <c r="A16" s="19" t="s">
        <v>50</v>
      </c>
      <c r="B16" s="19"/>
      <c r="C16" s="19"/>
      <c r="D16" s="19"/>
      <c r="E16" s="19"/>
      <c r="F16" s="19"/>
    </row>
    <row r="17" customFormat="false" ht="30" hidden="false" customHeight="true" outlineLevel="0" collapsed="false">
      <c r="A17" s="20" t="s">
        <v>51</v>
      </c>
      <c r="B17" s="21" t="s">
        <v>52</v>
      </c>
      <c r="C17" s="21"/>
      <c r="D17" s="21"/>
      <c r="E17" s="21"/>
      <c r="F17" s="21"/>
    </row>
    <row r="18" customFormat="false" ht="30" hidden="false" customHeight="true" outlineLevel="0" collapsed="false">
      <c r="A18" s="22" t="s">
        <v>53</v>
      </c>
      <c r="B18" s="23" t="s">
        <v>54</v>
      </c>
      <c r="C18" s="23"/>
      <c r="D18" s="23"/>
      <c r="E18" s="23"/>
      <c r="F18" s="23"/>
    </row>
    <row r="19" customFormat="false" ht="30" hidden="false" customHeight="true" outlineLevel="0" collapsed="false">
      <c r="A19" s="24" t="s">
        <v>55</v>
      </c>
      <c r="B19" s="25" t="s">
        <v>56</v>
      </c>
      <c r="C19" s="25"/>
      <c r="D19" s="25"/>
      <c r="E19" s="25"/>
      <c r="F19" s="25"/>
    </row>
    <row r="20" customFormat="false" ht="30" hidden="false" customHeight="true" outlineLevel="0" collapsed="false">
      <c r="A20" s="26" t="s">
        <v>57</v>
      </c>
      <c r="B20" s="27" t="s">
        <v>58</v>
      </c>
      <c r="C20" s="27"/>
      <c r="D20" s="27"/>
      <c r="E20" s="27"/>
      <c r="F20" s="27"/>
    </row>
    <row r="21" customFormat="false" ht="30" hidden="false" customHeight="true" outlineLevel="0" collapsed="false">
      <c r="A21" s="28" t="s">
        <v>59</v>
      </c>
      <c r="B21" s="29" t="s">
        <v>60</v>
      </c>
      <c r="C21" s="29"/>
      <c r="D21" s="29"/>
      <c r="E21" s="29"/>
      <c r="F21" s="29"/>
    </row>
  </sheetData>
  <mergeCells count="9">
    <mergeCell ref="A1:F1"/>
    <mergeCell ref="A2:F2"/>
    <mergeCell ref="A3:F3"/>
    <mergeCell ref="A16:F16"/>
    <mergeCell ref="B17:F17"/>
    <mergeCell ref="B18:F18"/>
    <mergeCell ref="B19:F19"/>
    <mergeCell ref="B20:F20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5" min="2" style="0" width="11"/>
  </cols>
  <sheetData>
    <row r="1" customFormat="false" ht="25.5" hidden="false" customHeight="true" outlineLevel="0" collapsed="false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2" t="s">
        <v>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9.5" hidden="false" customHeight="true" outlineLevel="0" collapsed="false">
      <c r="A4" s="19" t="s">
        <v>63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5" customFormat="false" ht="18" hidden="false" customHeight="true" outlineLevel="0" collapsed="false">
      <c r="A5" s="4" t="s">
        <v>64</v>
      </c>
      <c r="B5" s="4" t="s">
        <v>65</v>
      </c>
      <c r="C5" s="4" t="s">
        <v>66</v>
      </c>
      <c r="D5" s="30" t="s">
        <v>67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</row>
    <row r="6" customFormat="false" ht="15" hidden="false" customHeight="true" outlineLevel="0" collapsed="false">
      <c r="A6" s="31" t="s">
        <v>68</v>
      </c>
      <c r="B6" s="32" t="s">
        <v>69</v>
      </c>
      <c r="C6" s="33" t="s">
        <v>70</v>
      </c>
      <c r="D6" s="34" t="s">
        <v>71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</row>
    <row r="7" customFormat="false" ht="15" hidden="false" customHeight="true" outlineLevel="0" collapsed="false">
      <c r="A7" s="31" t="s">
        <v>72</v>
      </c>
      <c r="B7" s="32" t="s">
        <v>73</v>
      </c>
      <c r="C7" s="33" t="s">
        <v>70</v>
      </c>
      <c r="D7" s="34" t="s">
        <v>71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customFormat="false" ht="15" hidden="false" customHeight="true" outlineLevel="0" collapsed="false">
      <c r="A8" s="31" t="s">
        <v>74</v>
      </c>
      <c r="B8" s="32" t="s">
        <v>75</v>
      </c>
      <c r="C8" s="33" t="s">
        <v>70</v>
      </c>
      <c r="D8" s="34" t="s">
        <v>71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</row>
    <row r="9" customFormat="false" ht="15" hidden="false" customHeight="true" outlineLevel="0" collapsed="false">
      <c r="A9" s="31" t="s">
        <v>76</v>
      </c>
      <c r="B9" s="32" t="s">
        <v>77</v>
      </c>
      <c r="C9" s="33" t="s">
        <v>70</v>
      </c>
      <c r="D9" s="34" t="s">
        <v>78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</row>
    <row r="10" customFormat="false" ht="15" hidden="false" customHeight="true" outlineLevel="0" collapsed="false">
      <c r="A10" s="31" t="s">
        <v>79</v>
      </c>
      <c r="B10" s="32" t="s">
        <v>80</v>
      </c>
      <c r="C10" s="33" t="s">
        <v>70</v>
      </c>
      <c r="D10" s="34" t="s">
        <v>78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</row>
    <row r="11" customFormat="false" ht="15" hidden="false" customHeight="true" outlineLevel="0" collapsed="false">
      <c r="A11" s="31" t="s">
        <v>81</v>
      </c>
      <c r="B11" s="32" t="s">
        <v>82</v>
      </c>
      <c r="C11" s="33" t="s">
        <v>70</v>
      </c>
      <c r="D11" s="34" t="s">
        <v>78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customFormat="false" ht="15" hidden="false" customHeight="true" outlineLevel="0" collapsed="false">
      <c r="A12" s="31" t="s">
        <v>9</v>
      </c>
      <c r="B12" s="32" t="s">
        <v>83</v>
      </c>
      <c r="C12" s="33" t="s">
        <v>84</v>
      </c>
      <c r="D12" s="34" t="s">
        <v>85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</row>
    <row r="13" customFormat="false" ht="15" hidden="false" customHeight="true" outlineLevel="0" collapsed="false">
      <c r="A13" s="31" t="s">
        <v>86</v>
      </c>
      <c r="B13" s="32" t="s">
        <v>87</v>
      </c>
      <c r="C13" s="33" t="s">
        <v>70</v>
      </c>
      <c r="D13" s="34" t="s">
        <v>88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</row>
    <row r="14" customFormat="false" ht="15" hidden="false" customHeight="true" outlineLevel="0" collapsed="false">
      <c r="A14" s="31" t="s">
        <v>89</v>
      </c>
      <c r="B14" s="32" t="s">
        <v>90</v>
      </c>
      <c r="C14" s="33" t="s">
        <v>84</v>
      </c>
      <c r="D14" s="34" t="s">
        <v>91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</row>
    <row r="15" customFormat="false" ht="15" hidden="false" customHeight="true" outlineLevel="0" collapsed="false">
      <c r="A15" s="31" t="s">
        <v>92</v>
      </c>
      <c r="B15" s="32" t="s">
        <v>93</v>
      </c>
      <c r="C15" s="33" t="s">
        <v>70</v>
      </c>
      <c r="D15" s="34" t="s">
        <v>94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</row>
    <row r="16" customFormat="false" ht="15" hidden="false" customHeight="true" outlineLevel="0" collapsed="false">
      <c r="A16" s="31" t="s">
        <v>95</v>
      </c>
      <c r="B16" s="32" t="s">
        <v>96</v>
      </c>
      <c r="C16" s="33" t="s">
        <v>70</v>
      </c>
      <c r="D16" s="34" t="s">
        <v>97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</row>
    <row r="17" customFormat="false" ht="15" hidden="false" customHeight="true" outlineLevel="0" collapsed="false">
      <c r="A17" s="31" t="s">
        <v>98</v>
      </c>
      <c r="B17" s="32" t="s">
        <v>99</v>
      </c>
      <c r="C17" s="33" t="s">
        <v>84</v>
      </c>
      <c r="D17" s="34" t="s">
        <v>100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</row>
    <row r="18" customFormat="false" ht="15" hidden="false" customHeight="true" outlineLevel="0" collapsed="false">
      <c r="A18" s="31" t="s">
        <v>41</v>
      </c>
      <c r="B18" s="32" t="s">
        <v>42</v>
      </c>
      <c r="C18" s="33" t="s">
        <v>84</v>
      </c>
      <c r="D18" s="34" t="s">
        <v>101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</row>
    <row r="19" customFormat="false" ht="15" hidden="false" customHeight="true" outlineLevel="0" collapsed="false">
      <c r="A19" s="31" t="s">
        <v>102</v>
      </c>
      <c r="B19" s="32" t="s">
        <v>103</v>
      </c>
      <c r="C19" s="33" t="s">
        <v>84</v>
      </c>
      <c r="D19" s="34" t="s">
        <v>104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</row>
    <row r="20" customFormat="false" ht="15" hidden="false" customHeight="true" outlineLevel="0" collapsed="false">
      <c r="A20" s="31" t="s">
        <v>105</v>
      </c>
      <c r="B20" s="32" t="s">
        <v>106</v>
      </c>
      <c r="C20" s="33" t="s">
        <v>70</v>
      </c>
      <c r="D20" s="34" t="s">
        <v>107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</row>
    <row r="22" customFormat="false" ht="19.5" hidden="false" customHeight="true" outlineLevel="0" collapsed="false">
      <c r="A22" s="19" t="s">
        <v>108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customFormat="false" ht="18" hidden="false" customHeight="true" outlineLevel="0" collapsed="false">
      <c r="A23" s="4" t="s">
        <v>109</v>
      </c>
      <c r="B23" s="4" t="s">
        <v>110</v>
      </c>
      <c r="C23" s="4" t="s">
        <v>111</v>
      </c>
      <c r="D23" s="4" t="s">
        <v>66</v>
      </c>
      <c r="E23" s="30" t="s">
        <v>112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</row>
    <row r="24" customFormat="false" ht="15" hidden="false" customHeight="true" outlineLevel="0" collapsed="false">
      <c r="A24" s="31" t="s">
        <v>113</v>
      </c>
      <c r="B24" s="35" t="n">
        <v>25</v>
      </c>
      <c r="C24" s="36" t="n">
        <f aca="false">B24*12</f>
        <v>300</v>
      </c>
      <c r="D24" s="33" t="s">
        <v>114</v>
      </c>
      <c r="E24" s="34" t="s">
        <v>70</v>
      </c>
      <c r="F24" s="34"/>
      <c r="G24" s="34"/>
      <c r="H24" s="34"/>
      <c r="I24" s="34"/>
      <c r="J24" s="34"/>
      <c r="K24" s="34"/>
      <c r="L24" s="34"/>
      <c r="M24" s="34"/>
      <c r="N24" s="34"/>
      <c r="O24" s="34"/>
    </row>
    <row r="25" customFormat="false" ht="15" hidden="false" customHeight="true" outlineLevel="0" collapsed="false">
      <c r="A25" s="31" t="s">
        <v>115</v>
      </c>
      <c r="B25" s="35" t="n">
        <v>4.6</v>
      </c>
      <c r="C25" s="36" t="n">
        <f aca="false">B25*12</f>
        <v>55.2</v>
      </c>
      <c r="D25" s="33" t="s">
        <v>114</v>
      </c>
      <c r="E25" s="34" t="s">
        <v>70</v>
      </c>
      <c r="F25" s="34"/>
      <c r="G25" s="34"/>
      <c r="H25" s="34"/>
      <c r="I25" s="34"/>
      <c r="J25" s="34"/>
      <c r="K25" s="34"/>
      <c r="L25" s="34"/>
      <c r="M25" s="34"/>
      <c r="N25" s="34"/>
      <c r="O25" s="34"/>
    </row>
    <row r="26" customFormat="false" ht="15" hidden="false" customHeight="true" outlineLevel="0" collapsed="false">
      <c r="A26" s="31" t="s">
        <v>116</v>
      </c>
      <c r="B26" s="35" t="n">
        <v>25</v>
      </c>
      <c r="C26" s="36" t="n">
        <f aca="false">B26*12</f>
        <v>300</v>
      </c>
      <c r="D26" s="33" t="s">
        <v>114</v>
      </c>
      <c r="E26" s="34" t="s">
        <v>70</v>
      </c>
      <c r="F26" s="34"/>
      <c r="G26" s="34"/>
      <c r="H26" s="34"/>
      <c r="I26" s="34"/>
      <c r="J26" s="34"/>
      <c r="K26" s="34"/>
      <c r="L26" s="34"/>
      <c r="M26" s="34"/>
      <c r="N26" s="34"/>
      <c r="O26" s="34"/>
    </row>
    <row r="27" customFormat="false" ht="15" hidden="false" customHeight="true" outlineLevel="0" collapsed="false">
      <c r="A27" s="31" t="s">
        <v>117</v>
      </c>
      <c r="B27" s="35" t="n">
        <v>5</v>
      </c>
      <c r="C27" s="36" t="n">
        <f aca="false">B27*12</f>
        <v>60</v>
      </c>
      <c r="D27" s="33" t="s">
        <v>114</v>
      </c>
      <c r="E27" s="34" t="s">
        <v>70</v>
      </c>
      <c r="F27" s="34"/>
      <c r="G27" s="34"/>
      <c r="H27" s="34"/>
      <c r="I27" s="34"/>
      <c r="J27" s="34"/>
      <c r="K27" s="34"/>
      <c r="L27" s="34"/>
      <c r="M27" s="34"/>
      <c r="N27" s="34"/>
      <c r="O27" s="34"/>
    </row>
    <row r="28" customFormat="false" ht="15" hidden="false" customHeight="true" outlineLevel="0" collapsed="false">
      <c r="A28" s="31" t="s">
        <v>118</v>
      </c>
      <c r="B28" s="35" t="n">
        <v>50</v>
      </c>
      <c r="C28" s="36" t="n">
        <f aca="false">B28*12</f>
        <v>600</v>
      </c>
      <c r="D28" s="33" t="s">
        <v>114</v>
      </c>
      <c r="E28" s="34" t="s">
        <v>119</v>
      </c>
      <c r="F28" s="34"/>
      <c r="G28" s="34"/>
      <c r="H28" s="34"/>
      <c r="I28" s="34"/>
      <c r="J28" s="34"/>
      <c r="K28" s="34"/>
      <c r="L28" s="34"/>
      <c r="M28" s="34"/>
      <c r="N28" s="34"/>
      <c r="O28" s="34"/>
    </row>
    <row r="29" customFormat="false" ht="15" hidden="false" customHeight="true" outlineLevel="0" collapsed="false">
      <c r="A29" s="31" t="s">
        <v>120</v>
      </c>
      <c r="B29" s="35" t="n">
        <v>50</v>
      </c>
      <c r="C29" s="36" t="n">
        <f aca="false">B29*12</f>
        <v>600</v>
      </c>
      <c r="D29" s="33" t="s">
        <v>114</v>
      </c>
      <c r="E29" s="34" t="s">
        <v>119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</row>
    <row r="30" customFormat="false" ht="15" hidden="false" customHeight="true" outlineLevel="0" collapsed="false">
      <c r="A30" s="31" t="s">
        <v>121</v>
      </c>
      <c r="B30" s="35" t="n">
        <v>75</v>
      </c>
      <c r="C30" s="36" t="n">
        <f aca="false">B30*12</f>
        <v>900</v>
      </c>
      <c r="D30" s="33" t="s">
        <v>114</v>
      </c>
      <c r="E30" s="34" t="s">
        <v>119</v>
      </c>
      <c r="F30" s="34"/>
      <c r="G30" s="34"/>
      <c r="H30" s="34"/>
      <c r="I30" s="34"/>
      <c r="J30" s="34"/>
      <c r="K30" s="34"/>
      <c r="L30" s="34"/>
      <c r="M30" s="34"/>
      <c r="N30" s="34"/>
      <c r="O30" s="34"/>
    </row>
    <row r="31" customFormat="false" ht="15" hidden="false" customHeight="true" outlineLevel="0" collapsed="false">
      <c r="A31" s="31" t="s">
        <v>122</v>
      </c>
      <c r="B31" s="35" t="n">
        <v>200</v>
      </c>
      <c r="C31" s="36" t="n">
        <f aca="false">B31*12</f>
        <v>2400</v>
      </c>
      <c r="D31" s="33" t="s">
        <v>114</v>
      </c>
      <c r="E31" s="34" t="s">
        <v>123</v>
      </c>
      <c r="F31" s="34"/>
      <c r="G31" s="34"/>
      <c r="H31" s="34"/>
      <c r="I31" s="34"/>
      <c r="J31" s="34"/>
      <c r="K31" s="34"/>
      <c r="L31" s="34"/>
      <c r="M31" s="34"/>
      <c r="N31" s="34"/>
      <c r="O31" s="34"/>
    </row>
    <row r="32" customFormat="false" ht="15" hidden="false" customHeight="true" outlineLevel="0" collapsed="false">
      <c r="A32" s="31" t="s">
        <v>124</v>
      </c>
      <c r="B32" s="35" t="n">
        <v>10</v>
      </c>
      <c r="C32" s="36" t="n">
        <f aca="false">B32*12</f>
        <v>120</v>
      </c>
      <c r="D32" s="33" t="s">
        <v>114</v>
      </c>
      <c r="E32" s="34" t="s">
        <v>123</v>
      </c>
      <c r="F32" s="34"/>
      <c r="G32" s="34"/>
      <c r="H32" s="34"/>
      <c r="I32" s="34"/>
      <c r="J32" s="34"/>
      <c r="K32" s="34"/>
      <c r="L32" s="34"/>
      <c r="M32" s="34"/>
      <c r="N32" s="34"/>
      <c r="O32" s="34"/>
    </row>
    <row r="33" customFormat="false" ht="15" hidden="false" customHeight="true" outlineLevel="0" collapsed="false">
      <c r="A33" s="31" t="s">
        <v>125</v>
      </c>
      <c r="B33" s="35" t="n">
        <v>800</v>
      </c>
      <c r="C33" s="36" t="n">
        <f aca="false">B33*12</f>
        <v>9600</v>
      </c>
      <c r="D33" s="33" t="s">
        <v>114</v>
      </c>
      <c r="E33" s="34" t="s">
        <v>70</v>
      </c>
      <c r="F33" s="34"/>
      <c r="G33" s="34"/>
      <c r="H33" s="34"/>
      <c r="I33" s="34"/>
      <c r="J33" s="34"/>
      <c r="K33" s="34"/>
      <c r="L33" s="34"/>
      <c r="M33" s="34"/>
      <c r="N33" s="34"/>
      <c r="O33" s="34"/>
    </row>
    <row r="34" customFormat="false" ht="15" hidden="false" customHeight="true" outlineLevel="0" collapsed="false">
      <c r="A34" s="31" t="s">
        <v>126</v>
      </c>
      <c r="B34" s="35" t="n">
        <v>800</v>
      </c>
      <c r="C34" s="36" t="n">
        <f aca="false">B34*12</f>
        <v>9600</v>
      </c>
      <c r="D34" s="33" t="s">
        <v>114</v>
      </c>
      <c r="E34" s="34" t="s">
        <v>70</v>
      </c>
      <c r="F34" s="34"/>
      <c r="G34" s="34"/>
      <c r="H34" s="34"/>
      <c r="I34" s="34"/>
      <c r="J34" s="34"/>
      <c r="K34" s="34"/>
      <c r="L34" s="34"/>
      <c r="M34" s="34"/>
      <c r="N34" s="34"/>
      <c r="O34" s="34"/>
    </row>
    <row r="35" customFormat="false" ht="15" hidden="false" customHeight="true" outlineLevel="0" collapsed="false">
      <c r="A35" s="31" t="s">
        <v>127</v>
      </c>
      <c r="B35" s="35" t="n">
        <v>400</v>
      </c>
      <c r="C35" s="36" t="n">
        <f aca="false">B35*12</f>
        <v>4800</v>
      </c>
      <c r="D35" s="33" t="s">
        <v>114</v>
      </c>
      <c r="E35" s="34" t="s">
        <v>70</v>
      </c>
      <c r="F35" s="34"/>
      <c r="G35" s="34"/>
      <c r="H35" s="34"/>
      <c r="I35" s="34"/>
      <c r="J35" s="34"/>
      <c r="K35" s="34"/>
      <c r="L35" s="34"/>
      <c r="M35" s="34"/>
      <c r="N35" s="34"/>
      <c r="O35" s="34"/>
    </row>
    <row r="36" customFormat="false" ht="18" hidden="false" customHeight="true" outlineLevel="0" collapsed="false">
      <c r="A36" s="37" t="s">
        <v>128</v>
      </c>
      <c r="B36" s="38" t="n">
        <f aca="false">SUM(B24:B35)</f>
        <v>2444.6</v>
      </c>
      <c r="C36" s="38" t="n">
        <f aca="false">B36*12</f>
        <v>29335.2</v>
      </c>
    </row>
    <row r="38" customFormat="false" ht="19.5" hidden="false" customHeight="true" outlineLevel="0" collapsed="false">
      <c r="A38" s="19" t="s">
        <v>129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</row>
    <row r="39" customFormat="false" ht="18" hidden="false" customHeight="true" outlineLevel="0" collapsed="false">
      <c r="A39" s="4" t="s">
        <v>130</v>
      </c>
      <c r="B39" s="4" t="s">
        <v>131</v>
      </c>
      <c r="C39" s="4" t="s">
        <v>66</v>
      </c>
      <c r="D39" s="30" t="s">
        <v>132</v>
      </c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</row>
    <row r="40" customFormat="false" ht="15" hidden="false" customHeight="true" outlineLevel="0" collapsed="false">
      <c r="A40" s="31" t="s">
        <v>133</v>
      </c>
      <c r="B40" s="35" t="n">
        <v>540</v>
      </c>
      <c r="C40" s="39" t="s">
        <v>70</v>
      </c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</row>
    <row r="41" customFormat="false" ht="15" hidden="false" customHeight="true" outlineLevel="0" collapsed="false">
      <c r="A41" s="31" t="s">
        <v>134</v>
      </c>
      <c r="B41" s="35" t="n">
        <v>650</v>
      </c>
      <c r="C41" s="39" t="s">
        <v>70</v>
      </c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</row>
    <row r="42" customFormat="false" ht="15" hidden="false" customHeight="true" outlineLevel="0" collapsed="false">
      <c r="A42" s="31" t="s">
        <v>135</v>
      </c>
      <c r="B42" s="35" t="n">
        <v>315</v>
      </c>
      <c r="C42" s="39" t="s">
        <v>136</v>
      </c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</row>
    <row r="43" customFormat="false" ht="15" hidden="false" customHeight="true" outlineLevel="0" collapsed="false">
      <c r="A43" s="31" t="s">
        <v>137</v>
      </c>
      <c r="B43" s="35" t="n">
        <v>525</v>
      </c>
      <c r="C43" s="39" t="s">
        <v>136</v>
      </c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</row>
    <row r="44" customFormat="false" ht="15" hidden="false" customHeight="true" outlineLevel="0" collapsed="false">
      <c r="A44" s="31" t="s">
        <v>138</v>
      </c>
      <c r="B44" s="35" t="n">
        <v>200</v>
      </c>
      <c r="C44" s="39" t="s">
        <v>136</v>
      </c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</row>
    <row r="45" customFormat="false" ht="15" hidden="false" customHeight="true" outlineLevel="0" collapsed="false">
      <c r="A45" s="31" t="s">
        <v>139</v>
      </c>
      <c r="B45" s="35" t="n">
        <v>300</v>
      </c>
      <c r="C45" s="39" t="s">
        <v>140</v>
      </c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</row>
    <row r="46" customFormat="false" ht="15" hidden="false" customHeight="true" outlineLevel="0" collapsed="false">
      <c r="A46" s="31" t="s">
        <v>141</v>
      </c>
      <c r="B46" s="35" t="n">
        <v>50</v>
      </c>
      <c r="C46" s="39" t="s">
        <v>123</v>
      </c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</row>
    <row r="47" customFormat="false" ht="15" hidden="false" customHeight="true" outlineLevel="0" collapsed="false">
      <c r="A47" s="31" t="s">
        <v>142</v>
      </c>
      <c r="B47" s="35" t="n">
        <v>250</v>
      </c>
      <c r="C47" s="39" t="s">
        <v>123</v>
      </c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</row>
    <row r="48" customFormat="false" ht="18" hidden="false" customHeight="true" outlineLevel="0" collapsed="false">
      <c r="A48" s="37" t="s">
        <v>143</v>
      </c>
      <c r="B48" s="38" t="n">
        <f aca="false">SUM(B40:B47)</f>
        <v>2830</v>
      </c>
    </row>
    <row r="50" customFormat="false" ht="21.75" hidden="false" customHeight="true" outlineLevel="0" collapsed="false">
      <c r="A50" s="40" t="s">
        <v>144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</row>
    <row r="51" customFormat="false" ht="18" hidden="false" customHeight="true" outlineLevel="0" collapsed="false">
      <c r="A51" s="4" t="s">
        <v>145</v>
      </c>
      <c r="B51" s="4" t="s">
        <v>146</v>
      </c>
      <c r="C51" s="4" t="s">
        <v>147</v>
      </c>
      <c r="D51" s="4" t="s">
        <v>148</v>
      </c>
      <c r="E51" s="4" t="s">
        <v>37</v>
      </c>
      <c r="F51" s="4" t="s">
        <v>149</v>
      </c>
      <c r="G51" s="4" t="s">
        <v>34</v>
      </c>
      <c r="H51" s="4" t="s">
        <v>36</v>
      </c>
      <c r="I51" s="4" t="s">
        <v>33</v>
      </c>
      <c r="J51" s="4" t="s">
        <v>35</v>
      </c>
      <c r="K51" s="4" t="s">
        <v>40</v>
      </c>
      <c r="L51" s="4" t="s">
        <v>150</v>
      </c>
      <c r="M51" s="4" t="s">
        <v>151</v>
      </c>
      <c r="N51" s="4" t="s">
        <v>152</v>
      </c>
    </row>
    <row r="52" customFormat="false" ht="15.75" hidden="false" customHeight="true" outlineLevel="0" collapsed="false">
      <c r="A52" s="41" t="s">
        <v>153</v>
      </c>
      <c r="B52" s="42" t="n">
        <v>2</v>
      </c>
      <c r="C52" s="42" t="n">
        <v>5</v>
      </c>
      <c r="D52" s="42" t="n">
        <v>9</v>
      </c>
      <c r="E52" s="42" t="n">
        <v>12</v>
      </c>
      <c r="F52" s="42" t="n">
        <v>16</v>
      </c>
      <c r="G52" s="42" t="n">
        <v>20</v>
      </c>
      <c r="H52" s="42" t="n">
        <v>26</v>
      </c>
      <c r="I52" s="42" t="n">
        <v>31</v>
      </c>
      <c r="J52" s="42" t="n">
        <v>36</v>
      </c>
      <c r="K52" s="42" t="n">
        <v>41</v>
      </c>
      <c r="L52" s="42" t="n">
        <v>46</v>
      </c>
      <c r="M52" s="42" t="n">
        <v>53</v>
      </c>
      <c r="O52" s="43" t="n">
        <f aca="false">SUM(B52:M52)</f>
        <v>297</v>
      </c>
    </row>
    <row r="53" customFormat="false" ht="15.75" hidden="false" customHeight="true" outlineLevel="0" collapsed="false">
      <c r="A53" s="10" t="s">
        <v>154</v>
      </c>
      <c r="B53" s="44" t="n">
        <v>2</v>
      </c>
      <c r="C53" s="44" t="n">
        <v>5</v>
      </c>
      <c r="D53" s="44" t="n">
        <v>9</v>
      </c>
      <c r="E53" s="44" t="n">
        <v>12</v>
      </c>
      <c r="F53" s="44" t="n">
        <v>16</v>
      </c>
      <c r="G53" s="44" t="n">
        <v>21</v>
      </c>
      <c r="H53" s="44" t="n">
        <v>27</v>
      </c>
      <c r="I53" s="44" t="n">
        <v>32</v>
      </c>
      <c r="J53" s="44" t="n">
        <v>38</v>
      </c>
      <c r="K53" s="44" t="n">
        <v>43</v>
      </c>
      <c r="L53" s="44" t="n">
        <v>49</v>
      </c>
      <c r="M53" s="44" t="n">
        <v>56</v>
      </c>
      <c r="O53" s="45" t="n">
        <f aca="false">SUM(B53:M53)</f>
        <v>310</v>
      </c>
    </row>
    <row r="54" customFormat="false" ht="15.75" hidden="false" customHeight="true" outlineLevel="0" collapsed="false">
      <c r="A54" s="31" t="s">
        <v>155</v>
      </c>
      <c r="B54" s="46" t="n">
        <v>178</v>
      </c>
      <c r="C54" s="46" t="n">
        <v>445</v>
      </c>
      <c r="D54" s="46" t="n">
        <v>801</v>
      </c>
      <c r="E54" s="46" t="n">
        <v>1068</v>
      </c>
      <c r="F54" s="46" t="n">
        <v>1424</v>
      </c>
      <c r="G54" s="46" t="n">
        <v>1869</v>
      </c>
      <c r="H54" s="46" t="n">
        <v>2403</v>
      </c>
      <c r="I54" s="46" t="n">
        <v>2848</v>
      </c>
      <c r="J54" s="46" t="n">
        <v>3382</v>
      </c>
      <c r="K54" s="46" t="n">
        <v>3827</v>
      </c>
      <c r="L54" s="46" t="n">
        <v>4361</v>
      </c>
      <c r="M54" s="46" t="n">
        <v>4984</v>
      </c>
      <c r="O54" s="47" t="n">
        <f aca="false">SUM(B54:M54)</f>
        <v>27590</v>
      </c>
    </row>
    <row r="55" customFormat="false" ht="15.75" hidden="false" customHeight="true" outlineLevel="0" collapsed="false">
      <c r="A55" s="31" t="s">
        <v>156</v>
      </c>
      <c r="B55" s="48" t="n">
        <v>2.99</v>
      </c>
      <c r="C55" s="48" t="n">
        <v>7.48</v>
      </c>
      <c r="D55" s="48" t="n">
        <v>13.46</v>
      </c>
      <c r="E55" s="48" t="n">
        <v>17.95</v>
      </c>
      <c r="F55" s="48" t="n">
        <v>23.94</v>
      </c>
      <c r="G55" s="48" t="n">
        <v>31.42</v>
      </c>
      <c r="H55" s="48" t="n">
        <v>40.39</v>
      </c>
      <c r="I55" s="48" t="n">
        <v>47.87</v>
      </c>
      <c r="J55" s="48" t="n">
        <v>56.85</v>
      </c>
      <c r="K55" s="48" t="n">
        <v>64.33</v>
      </c>
      <c r="L55" s="48" t="n">
        <v>73.3</v>
      </c>
      <c r="M55" s="48" t="n">
        <v>83.78</v>
      </c>
      <c r="O55" s="49" t="n">
        <f aca="false">SUM(B55:M55)</f>
        <v>463.76</v>
      </c>
    </row>
    <row r="56" customFormat="false" ht="15.75" hidden="false" customHeight="true" outlineLevel="0" collapsed="false">
      <c r="A56" s="11" t="s">
        <v>157</v>
      </c>
      <c r="B56" s="50" t="n">
        <v>175.01</v>
      </c>
      <c r="C56" s="50" t="n">
        <v>437.52</v>
      </c>
      <c r="D56" s="50" t="n">
        <v>787.54</v>
      </c>
      <c r="E56" s="50" t="n">
        <v>1050.05</v>
      </c>
      <c r="F56" s="50" t="n">
        <v>1400.06</v>
      </c>
      <c r="G56" s="50" t="n">
        <v>1837.58</v>
      </c>
      <c r="H56" s="50" t="n">
        <v>2362.61</v>
      </c>
      <c r="I56" s="50" t="n">
        <v>2800.13</v>
      </c>
      <c r="J56" s="50" t="n">
        <v>3325.15</v>
      </c>
      <c r="K56" s="50" t="n">
        <v>3762.67</v>
      </c>
      <c r="L56" s="50" t="n">
        <v>4287.7</v>
      </c>
      <c r="M56" s="50" t="n">
        <v>4900.22</v>
      </c>
      <c r="O56" s="51" t="n">
        <f aca="false">SUM(B56:M56)</f>
        <v>27126.24</v>
      </c>
    </row>
    <row r="57" customFormat="false" ht="15.75" hidden="false" customHeight="true" outlineLevel="0" collapsed="false">
      <c r="A57" s="52" t="s">
        <v>158</v>
      </c>
      <c r="B57" s="53" t="n">
        <v>0</v>
      </c>
      <c r="C57" s="53" t="n">
        <v>0</v>
      </c>
      <c r="D57" s="53" t="n">
        <v>0</v>
      </c>
      <c r="E57" s="53" t="n">
        <v>0</v>
      </c>
      <c r="F57" s="53" t="n">
        <v>0</v>
      </c>
      <c r="G57" s="53" t="n">
        <v>0</v>
      </c>
      <c r="H57" s="53" t="n">
        <v>0</v>
      </c>
      <c r="I57" s="53" t="n">
        <v>0</v>
      </c>
      <c r="J57" s="53" t="n">
        <v>0</v>
      </c>
      <c r="K57" s="53" t="n">
        <v>0</v>
      </c>
      <c r="L57" s="53" t="n">
        <v>0</v>
      </c>
      <c r="M57" s="53" t="n">
        <v>0</v>
      </c>
      <c r="O57" s="54" t="n">
        <f aca="false">SUM(B57:M57)</f>
        <v>0</v>
      </c>
    </row>
    <row r="58" customFormat="false" ht="15.75" hidden="false" customHeight="true" outlineLevel="0" collapsed="false">
      <c r="A58" s="55" t="s">
        <v>159</v>
      </c>
      <c r="B58" s="56" t="n">
        <v>2444.6</v>
      </c>
      <c r="C58" s="56" t="n">
        <v>2444.6</v>
      </c>
      <c r="D58" s="56" t="n">
        <v>2444.6</v>
      </c>
      <c r="E58" s="56" t="n">
        <v>2444.6</v>
      </c>
      <c r="F58" s="56" t="n">
        <v>2444.6</v>
      </c>
      <c r="G58" s="56" t="n">
        <v>2444.6</v>
      </c>
      <c r="H58" s="56" t="n">
        <v>2444.6</v>
      </c>
      <c r="I58" s="56" t="n">
        <v>2444.6</v>
      </c>
      <c r="J58" s="56" t="n">
        <v>2444.6</v>
      </c>
      <c r="K58" s="56" t="n">
        <v>2444.6</v>
      </c>
      <c r="L58" s="56" t="n">
        <v>2444.6</v>
      </c>
      <c r="M58" s="56" t="n">
        <v>2444.6</v>
      </c>
      <c r="O58" s="57" t="n">
        <f aca="false">SUM(B58:M58)</f>
        <v>29335.2</v>
      </c>
    </row>
    <row r="59" customFormat="false" ht="15.75" hidden="false" customHeight="true" outlineLevel="0" collapsed="false">
      <c r="A59" s="5" t="s">
        <v>160</v>
      </c>
      <c r="B59" s="58" t="n">
        <v>-2269.59</v>
      </c>
      <c r="C59" s="58" t="n">
        <v>-2007.08</v>
      </c>
      <c r="D59" s="58" t="n">
        <v>-1657.06</v>
      </c>
      <c r="E59" s="58" t="n">
        <v>-1394.55</v>
      </c>
      <c r="F59" s="58" t="n">
        <v>-1044.54</v>
      </c>
      <c r="G59" s="58" t="n">
        <v>-607.02</v>
      </c>
      <c r="H59" s="58" t="n">
        <v>-81.99</v>
      </c>
      <c r="I59" s="59" t="n">
        <v>355.53</v>
      </c>
      <c r="J59" s="59" t="n">
        <v>880.55</v>
      </c>
      <c r="K59" s="59" t="n">
        <v>1318.07</v>
      </c>
      <c r="L59" s="59" t="n">
        <v>1843.1</v>
      </c>
      <c r="M59" s="59" t="n">
        <v>2455.62</v>
      </c>
      <c r="O59" s="60" t="n">
        <f aca="false">SUM(B59:M59)</f>
        <v>-2208.96</v>
      </c>
    </row>
    <row r="60" customFormat="false" ht="15.75" hidden="false" customHeight="true" outlineLevel="0" collapsed="false">
      <c r="A60" s="61" t="s">
        <v>161</v>
      </c>
      <c r="B60" s="62" t="n">
        <v>-2269.59</v>
      </c>
      <c r="C60" s="62" t="n">
        <v>-4276.67</v>
      </c>
      <c r="D60" s="62" t="n">
        <v>-5933.74</v>
      </c>
      <c r="E60" s="62" t="n">
        <v>-7328.29</v>
      </c>
      <c r="F60" s="62" t="n">
        <v>-8372.82</v>
      </c>
      <c r="G60" s="62" t="n">
        <v>-8979.84</v>
      </c>
      <c r="H60" s="62" t="n">
        <v>-9061.83</v>
      </c>
      <c r="I60" s="62" t="n">
        <v>-8706.3</v>
      </c>
      <c r="J60" s="62" t="n">
        <v>-7825.75</v>
      </c>
      <c r="K60" s="62" t="n">
        <v>-6507.68</v>
      </c>
      <c r="L60" s="62" t="n">
        <v>-4664.58</v>
      </c>
      <c r="M60" s="62" t="n">
        <v>-2208.96</v>
      </c>
      <c r="O60" s="60" t="n">
        <f aca="false">SUM(B60:M60)</f>
        <v>-76136.05</v>
      </c>
    </row>
    <row r="61" customFormat="false" ht="18" hidden="false" customHeight="true" outlineLevel="0" collapsed="false">
      <c r="A61" s="63" t="s">
        <v>162</v>
      </c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3" customFormat="false" ht="21.75" hidden="false" customHeight="true" outlineLevel="0" collapsed="false">
      <c r="A63" s="64" t="s">
        <v>163</v>
      </c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</row>
    <row r="64" customFormat="false" ht="18" hidden="false" customHeight="true" outlineLevel="0" collapsed="false">
      <c r="A64" s="65" t="s">
        <v>145</v>
      </c>
      <c r="B64" s="65" t="s">
        <v>146</v>
      </c>
      <c r="C64" s="65" t="s">
        <v>147</v>
      </c>
      <c r="D64" s="65" t="s">
        <v>148</v>
      </c>
      <c r="E64" s="65" t="s">
        <v>37</v>
      </c>
      <c r="F64" s="65" t="s">
        <v>149</v>
      </c>
      <c r="G64" s="65" t="s">
        <v>34</v>
      </c>
      <c r="H64" s="65" t="s">
        <v>36</v>
      </c>
      <c r="I64" s="65" t="s">
        <v>33</v>
      </c>
      <c r="J64" s="65" t="s">
        <v>35</v>
      </c>
      <c r="K64" s="65" t="s">
        <v>40</v>
      </c>
      <c r="L64" s="65" t="s">
        <v>150</v>
      </c>
      <c r="M64" s="65" t="s">
        <v>151</v>
      </c>
      <c r="N64" s="65" t="s">
        <v>152</v>
      </c>
    </row>
    <row r="65" customFormat="false" ht="15.75" hidden="false" customHeight="true" outlineLevel="0" collapsed="false">
      <c r="A65" s="41" t="s">
        <v>153</v>
      </c>
      <c r="B65" s="42" t="n">
        <v>4</v>
      </c>
      <c r="C65" s="42" t="n">
        <v>9</v>
      </c>
      <c r="D65" s="42" t="n">
        <v>14</v>
      </c>
      <c r="E65" s="42" t="n">
        <v>19</v>
      </c>
      <c r="F65" s="42" t="n">
        <v>24</v>
      </c>
      <c r="G65" s="42" t="n">
        <v>30</v>
      </c>
      <c r="H65" s="42" t="n">
        <v>36</v>
      </c>
      <c r="I65" s="42" t="n">
        <v>42</v>
      </c>
      <c r="J65" s="42" t="n">
        <v>48</v>
      </c>
      <c r="K65" s="42" t="n">
        <v>54</v>
      </c>
      <c r="L65" s="42" t="n">
        <v>61</v>
      </c>
      <c r="M65" s="42" t="n">
        <v>68</v>
      </c>
      <c r="O65" s="43" t="n">
        <f aca="false">SUM(B65:M65)</f>
        <v>409</v>
      </c>
    </row>
    <row r="66" customFormat="false" ht="15.75" hidden="false" customHeight="true" outlineLevel="0" collapsed="false">
      <c r="A66" s="15" t="s">
        <v>154</v>
      </c>
      <c r="B66" s="66" t="n">
        <v>4</v>
      </c>
      <c r="C66" s="66" t="n">
        <v>9</v>
      </c>
      <c r="D66" s="66" t="n">
        <v>14</v>
      </c>
      <c r="E66" s="66" t="n">
        <v>19</v>
      </c>
      <c r="F66" s="66" t="n">
        <v>25</v>
      </c>
      <c r="G66" s="66" t="n">
        <v>31</v>
      </c>
      <c r="H66" s="66" t="n">
        <v>38</v>
      </c>
      <c r="I66" s="66" t="n">
        <v>44</v>
      </c>
      <c r="J66" s="66" t="n">
        <v>51</v>
      </c>
      <c r="K66" s="66" t="n">
        <v>57</v>
      </c>
      <c r="L66" s="66" t="n">
        <v>64</v>
      </c>
      <c r="M66" s="66" t="n">
        <v>72</v>
      </c>
      <c r="O66" s="67" t="n">
        <f aca="false">SUM(B66:M66)</f>
        <v>428</v>
      </c>
    </row>
    <row r="67" customFormat="false" ht="15.75" hidden="false" customHeight="true" outlineLevel="0" collapsed="false">
      <c r="A67" s="31" t="s">
        <v>155</v>
      </c>
      <c r="B67" s="46" t="n">
        <v>356</v>
      </c>
      <c r="C67" s="46" t="n">
        <v>801</v>
      </c>
      <c r="D67" s="46" t="n">
        <v>1246</v>
      </c>
      <c r="E67" s="46" t="n">
        <v>1691</v>
      </c>
      <c r="F67" s="46" t="n">
        <v>2225</v>
      </c>
      <c r="G67" s="46" t="n">
        <v>2759</v>
      </c>
      <c r="H67" s="46" t="n">
        <v>3382</v>
      </c>
      <c r="I67" s="46" t="n">
        <v>3916</v>
      </c>
      <c r="J67" s="46" t="n">
        <v>4539</v>
      </c>
      <c r="K67" s="46" t="n">
        <v>5073</v>
      </c>
      <c r="L67" s="46" t="n">
        <v>5696</v>
      </c>
      <c r="M67" s="46" t="n">
        <v>6408</v>
      </c>
      <c r="O67" s="47" t="n">
        <f aca="false">SUM(B67:M67)</f>
        <v>38092</v>
      </c>
    </row>
    <row r="68" customFormat="false" ht="15.75" hidden="false" customHeight="true" outlineLevel="0" collapsed="false">
      <c r="A68" s="31" t="s">
        <v>156</v>
      </c>
      <c r="B68" s="48" t="n">
        <v>5.98</v>
      </c>
      <c r="C68" s="48" t="n">
        <v>13.46</v>
      </c>
      <c r="D68" s="48" t="n">
        <v>20.94</v>
      </c>
      <c r="E68" s="48" t="n">
        <v>28.42</v>
      </c>
      <c r="F68" s="48" t="n">
        <v>37.4</v>
      </c>
      <c r="G68" s="48" t="n">
        <v>46.38</v>
      </c>
      <c r="H68" s="48" t="n">
        <v>56.85</v>
      </c>
      <c r="I68" s="48" t="n">
        <v>65.82</v>
      </c>
      <c r="J68" s="48" t="n">
        <v>76.3</v>
      </c>
      <c r="K68" s="48" t="n">
        <v>85.27</v>
      </c>
      <c r="L68" s="48" t="n">
        <v>95.74</v>
      </c>
      <c r="M68" s="48" t="n">
        <v>107.71</v>
      </c>
      <c r="O68" s="49" t="n">
        <f aca="false">SUM(B68:M68)</f>
        <v>640.27</v>
      </c>
    </row>
    <row r="69" customFormat="false" ht="15.75" hidden="false" customHeight="true" outlineLevel="0" collapsed="false">
      <c r="A69" s="11" t="s">
        <v>157</v>
      </c>
      <c r="B69" s="50" t="n">
        <v>350.02</v>
      </c>
      <c r="C69" s="50" t="n">
        <v>787.54</v>
      </c>
      <c r="D69" s="50" t="n">
        <v>1225.06</v>
      </c>
      <c r="E69" s="50" t="n">
        <v>1662.58</v>
      </c>
      <c r="F69" s="50" t="n">
        <v>2187.6</v>
      </c>
      <c r="G69" s="50" t="n">
        <v>2712.62</v>
      </c>
      <c r="H69" s="50" t="n">
        <v>3325.15</v>
      </c>
      <c r="I69" s="50" t="n">
        <v>3850.18</v>
      </c>
      <c r="J69" s="50" t="n">
        <v>4462.7</v>
      </c>
      <c r="K69" s="50" t="n">
        <v>4987.73</v>
      </c>
      <c r="L69" s="50" t="n">
        <v>5600.26</v>
      </c>
      <c r="M69" s="50" t="n">
        <v>6300.29</v>
      </c>
      <c r="O69" s="68" t="n">
        <f aca="false">SUM(B69:M69)</f>
        <v>37451.73</v>
      </c>
    </row>
    <row r="70" customFormat="false" ht="15.75" hidden="false" customHeight="true" outlineLevel="0" collapsed="false">
      <c r="A70" s="52" t="s">
        <v>158</v>
      </c>
      <c r="B70" s="53" t="n">
        <v>500</v>
      </c>
      <c r="C70" s="53" t="n">
        <v>500</v>
      </c>
      <c r="D70" s="53" t="n">
        <v>500</v>
      </c>
      <c r="E70" s="53" t="n">
        <v>500</v>
      </c>
      <c r="F70" s="53" t="n">
        <v>500</v>
      </c>
      <c r="G70" s="53" t="n">
        <v>500</v>
      </c>
      <c r="H70" s="53" t="n">
        <v>500</v>
      </c>
      <c r="I70" s="53" t="n">
        <v>500</v>
      </c>
      <c r="J70" s="53" t="n">
        <v>500</v>
      </c>
      <c r="K70" s="53" t="n">
        <v>500</v>
      </c>
      <c r="L70" s="53" t="n">
        <v>500</v>
      </c>
      <c r="M70" s="53" t="n">
        <v>500</v>
      </c>
      <c r="O70" s="54" t="n">
        <f aca="false">SUM(B70:M70)</f>
        <v>6000</v>
      </c>
    </row>
    <row r="71" customFormat="false" ht="15.75" hidden="false" customHeight="true" outlineLevel="0" collapsed="false">
      <c r="A71" s="55" t="s">
        <v>159</v>
      </c>
      <c r="B71" s="56" t="n">
        <v>2444.6</v>
      </c>
      <c r="C71" s="56" t="n">
        <v>2444.6</v>
      </c>
      <c r="D71" s="56" t="n">
        <v>2444.6</v>
      </c>
      <c r="E71" s="56" t="n">
        <v>2444.6</v>
      </c>
      <c r="F71" s="56" t="n">
        <v>2444.6</v>
      </c>
      <c r="G71" s="56" t="n">
        <v>2444.6</v>
      </c>
      <c r="H71" s="56" t="n">
        <v>2444.6</v>
      </c>
      <c r="I71" s="56" t="n">
        <v>2444.6</v>
      </c>
      <c r="J71" s="56" t="n">
        <v>2444.6</v>
      </c>
      <c r="K71" s="56" t="n">
        <v>2444.6</v>
      </c>
      <c r="L71" s="56" t="n">
        <v>2444.6</v>
      </c>
      <c r="M71" s="56" t="n">
        <v>2444.6</v>
      </c>
      <c r="O71" s="57" t="n">
        <f aca="false">SUM(B71:M71)</f>
        <v>29335.2</v>
      </c>
    </row>
    <row r="72" customFormat="false" ht="15.75" hidden="false" customHeight="true" outlineLevel="0" collapsed="false">
      <c r="A72" s="5" t="s">
        <v>160</v>
      </c>
      <c r="B72" s="58" t="n">
        <v>-2594.58</v>
      </c>
      <c r="C72" s="58" t="n">
        <v>-2157.06</v>
      </c>
      <c r="D72" s="58" t="n">
        <v>-1719.54</v>
      </c>
      <c r="E72" s="58" t="n">
        <v>-1282.02</v>
      </c>
      <c r="F72" s="58" t="n">
        <v>-757</v>
      </c>
      <c r="G72" s="58" t="n">
        <v>-231.98</v>
      </c>
      <c r="H72" s="59" t="n">
        <v>380.55</v>
      </c>
      <c r="I72" s="59" t="n">
        <v>905.58</v>
      </c>
      <c r="J72" s="59" t="n">
        <v>1518.1</v>
      </c>
      <c r="K72" s="59" t="n">
        <v>2043.13</v>
      </c>
      <c r="L72" s="59" t="n">
        <v>2655.66</v>
      </c>
      <c r="M72" s="59" t="n">
        <v>3355.69</v>
      </c>
      <c r="O72" s="69" t="n">
        <f aca="false">SUM(B72:M72)</f>
        <v>2116.53</v>
      </c>
    </row>
    <row r="73" customFormat="false" ht="15.75" hidden="false" customHeight="true" outlineLevel="0" collapsed="false">
      <c r="A73" s="61" t="s">
        <v>161</v>
      </c>
      <c r="B73" s="62" t="n">
        <v>-2594.58</v>
      </c>
      <c r="C73" s="62" t="n">
        <v>-4751.65</v>
      </c>
      <c r="D73" s="62" t="n">
        <v>-6471.19</v>
      </c>
      <c r="E73" s="62" t="n">
        <v>-7753.22</v>
      </c>
      <c r="F73" s="62" t="n">
        <v>-8510.22</v>
      </c>
      <c r="G73" s="62" t="n">
        <v>-8742.19</v>
      </c>
      <c r="H73" s="62" t="n">
        <v>-8361.64</v>
      </c>
      <c r="I73" s="62" t="n">
        <v>-7456.06</v>
      </c>
      <c r="J73" s="62" t="n">
        <v>-5937.96</v>
      </c>
      <c r="K73" s="62" t="n">
        <v>-3894.83</v>
      </c>
      <c r="L73" s="62" t="n">
        <v>-1239.18</v>
      </c>
      <c r="M73" s="62" t="n">
        <v>2116.51</v>
      </c>
      <c r="O73" s="69" t="n">
        <f aca="false">SUM(B73:M73)</f>
        <v>-63596.21</v>
      </c>
    </row>
    <row r="74" customFormat="false" ht="18" hidden="false" customHeight="true" outlineLevel="0" collapsed="false">
      <c r="A74" s="70" t="s">
        <v>164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</row>
    <row r="76" customFormat="false" ht="21.75" hidden="false" customHeight="true" outlineLevel="0" collapsed="false">
      <c r="A76" s="71" t="s">
        <v>165</v>
      </c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</row>
    <row r="77" customFormat="false" ht="18" hidden="false" customHeight="true" outlineLevel="0" collapsed="false">
      <c r="A77" s="72" t="s">
        <v>145</v>
      </c>
      <c r="B77" s="72" t="s">
        <v>146</v>
      </c>
      <c r="C77" s="72" t="s">
        <v>147</v>
      </c>
      <c r="D77" s="72" t="s">
        <v>148</v>
      </c>
      <c r="E77" s="72" t="s">
        <v>37</v>
      </c>
      <c r="F77" s="72" t="s">
        <v>149</v>
      </c>
      <c r="G77" s="72" t="s">
        <v>34</v>
      </c>
      <c r="H77" s="72" t="s">
        <v>36</v>
      </c>
      <c r="I77" s="72" t="s">
        <v>33</v>
      </c>
      <c r="J77" s="72" t="s">
        <v>35</v>
      </c>
      <c r="K77" s="72" t="s">
        <v>40</v>
      </c>
      <c r="L77" s="72" t="s">
        <v>150</v>
      </c>
      <c r="M77" s="72" t="s">
        <v>151</v>
      </c>
      <c r="N77" s="72" t="s">
        <v>152</v>
      </c>
    </row>
    <row r="78" customFormat="false" ht="15.75" hidden="false" customHeight="true" outlineLevel="0" collapsed="false">
      <c r="A78" s="41" t="s">
        <v>153</v>
      </c>
      <c r="B78" s="42" t="n">
        <v>6</v>
      </c>
      <c r="C78" s="42" t="n">
        <v>13</v>
      </c>
      <c r="D78" s="42" t="n">
        <v>20</v>
      </c>
      <c r="E78" s="42" t="n">
        <v>27</v>
      </c>
      <c r="F78" s="42" t="n">
        <v>35</v>
      </c>
      <c r="G78" s="42" t="n">
        <v>42</v>
      </c>
      <c r="H78" s="42" t="n">
        <v>49</v>
      </c>
      <c r="I78" s="42" t="n">
        <v>57</v>
      </c>
      <c r="J78" s="42" t="n">
        <v>64</v>
      </c>
      <c r="K78" s="42" t="n">
        <v>71</v>
      </c>
      <c r="L78" s="42" t="n">
        <v>78</v>
      </c>
      <c r="M78" s="42" t="n">
        <v>87</v>
      </c>
      <c r="O78" s="43" t="n">
        <f aca="false">SUM(B78:M78)</f>
        <v>549</v>
      </c>
    </row>
    <row r="79" customFormat="false" ht="15.75" hidden="false" customHeight="true" outlineLevel="0" collapsed="false">
      <c r="A79" s="11" t="s">
        <v>154</v>
      </c>
      <c r="B79" s="73" t="n">
        <v>6</v>
      </c>
      <c r="C79" s="73" t="n">
        <v>13</v>
      </c>
      <c r="D79" s="73" t="n">
        <v>20</v>
      </c>
      <c r="E79" s="73" t="n">
        <v>28</v>
      </c>
      <c r="F79" s="73" t="n">
        <v>36</v>
      </c>
      <c r="G79" s="73" t="n">
        <v>44</v>
      </c>
      <c r="H79" s="73" t="n">
        <v>52</v>
      </c>
      <c r="I79" s="73" t="n">
        <v>60</v>
      </c>
      <c r="J79" s="73" t="n">
        <v>68</v>
      </c>
      <c r="K79" s="73" t="n">
        <v>75</v>
      </c>
      <c r="L79" s="73" t="n">
        <v>83</v>
      </c>
      <c r="M79" s="73" t="n">
        <v>92</v>
      </c>
      <c r="O79" s="74" t="n">
        <f aca="false">SUM(B79:M79)</f>
        <v>577</v>
      </c>
    </row>
    <row r="80" customFormat="false" ht="15.75" hidden="false" customHeight="true" outlineLevel="0" collapsed="false">
      <c r="A80" s="31" t="s">
        <v>155</v>
      </c>
      <c r="B80" s="46" t="n">
        <v>534</v>
      </c>
      <c r="C80" s="46" t="n">
        <v>1157</v>
      </c>
      <c r="D80" s="46" t="n">
        <v>1780</v>
      </c>
      <c r="E80" s="46" t="n">
        <v>2492</v>
      </c>
      <c r="F80" s="46" t="n">
        <v>3204</v>
      </c>
      <c r="G80" s="46" t="n">
        <v>3916</v>
      </c>
      <c r="H80" s="46" t="n">
        <v>4628</v>
      </c>
      <c r="I80" s="46" t="n">
        <v>5340</v>
      </c>
      <c r="J80" s="46" t="n">
        <v>6052</v>
      </c>
      <c r="K80" s="46" t="n">
        <v>6675</v>
      </c>
      <c r="L80" s="46" t="n">
        <v>7387</v>
      </c>
      <c r="M80" s="46" t="n">
        <v>8188</v>
      </c>
      <c r="O80" s="47" t="n">
        <f aca="false">SUM(B80:M80)</f>
        <v>51353</v>
      </c>
    </row>
    <row r="81" customFormat="false" ht="15.75" hidden="false" customHeight="true" outlineLevel="0" collapsed="false">
      <c r="A81" s="31" t="s">
        <v>156</v>
      </c>
      <c r="B81" s="48" t="n">
        <v>8.98</v>
      </c>
      <c r="C81" s="48" t="n">
        <v>19.45</v>
      </c>
      <c r="D81" s="48" t="n">
        <v>29.92</v>
      </c>
      <c r="E81" s="48" t="n">
        <v>41.89</v>
      </c>
      <c r="F81" s="48" t="n">
        <v>53.86</v>
      </c>
      <c r="G81" s="48" t="n">
        <v>65.82</v>
      </c>
      <c r="H81" s="48" t="n">
        <v>77.79</v>
      </c>
      <c r="I81" s="48" t="n">
        <v>89.76</v>
      </c>
      <c r="J81" s="48" t="n">
        <v>101.73</v>
      </c>
      <c r="K81" s="48" t="n">
        <v>112.2</v>
      </c>
      <c r="L81" s="48" t="n">
        <v>124.17</v>
      </c>
      <c r="M81" s="48" t="n">
        <v>137.63</v>
      </c>
      <c r="O81" s="49" t="n">
        <f aca="false">SUM(B81:M81)</f>
        <v>863.2</v>
      </c>
    </row>
    <row r="82" customFormat="false" ht="15.75" hidden="false" customHeight="true" outlineLevel="0" collapsed="false">
      <c r="A82" s="11" t="s">
        <v>157</v>
      </c>
      <c r="B82" s="50" t="n">
        <v>525.02</v>
      </c>
      <c r="C82" s="50" t="n">
        <v>1137.55</v>
      </c>
      <c r="D82" s="50" t="n">
        <v>1750.08</v>
      </c>
      <c r="E82" s="50" t="n">
        <v>2450.11</v>
      </c>
      <c r="F82" s="50" t="n">
        <v>3150.14</v>
      </c>
      <c r="G82" s="50" t="n">
        <v>3850.18</v>
      </c>
      <c r="H82" s="50" t="n">
        <v>4550.21</v>
      </c>
      <c r="I82" s="50" t="n">
        <v>5250.24</v>
      </c>
      <c r="J82" s="50" t="n">
        <v>5950.27</v>
      </c>
      <c r="K82" s="50" t="n">
        <v>6562.8</v>
      </c>
      <c r="L82" s="50" t="n">
        <v>7262.83</v>
      </c>
      <c r="M82" s="50" t="n">
        <v>8050.37</v>
      </c>
      <c r="O82" s="75" t="n">
        <f aca="false">SUM(B82:M82)</f>
        <v>50489.8</v>
      </c>
    </row>
    <row r="83" customFormat="false" ht="15.75" hidden="false" customHeight="true" outlineLevel="0" collapsed="false">
      <c r="A83" s="52" t="s">
        <v>158</v>
      </c>
      <c r="B83" s="53" t="n">
        <v>1000</v>
      </c>
      <c r="C83" s="53" t="n">
        <v>1000</v>
      </c>
      <c r="D83" s="53" t="n">
        <v>1000</v>
      </c>
      <c r="E83" s="53" t="n">
        <v>1000</v>
      </c>
      <c r="F83" s="53" t="n">
        <v>1000</v>
      </c>
      <c r="G83" s="53" t="n">
        <v>1000</v>
      </c>
      <c r="H83" s="53" t="n">
        <v>1000</v>
      </c>
      <c r="I83" s="53" t="n">
        <v>1000</v>
      </c>
      <c r="J83" s="53" t="n">
        <v>1000</v>
      </c>
      <c r="K83" s="53" t="n">
        <v>1000</v>
      </c>
      <c r="L83" s="53" t="n">
        <v>1000</v>
      </c>
      <c r="M83" s="53" t="n">
        <v>1000</v>
      </c>
      <c r="O83" s="54" t="n">
        <f aca="false">SUM(B83:M83)</f>
        <v>12000</v>
      </c>
    </row>
    <row r="84" customFormat="false" ht="15.75" hidden="false" customHeight="true" outlineLevel="0" collapsed="false">
      <c r="A84" s="55" t="s">
        <v>159</v>
      </c>
      <c r="B84" s="56" t="n">
        <v>2444.6</v>
      </c>
      <c r="C84" s="56" t="n">
        <v>2444.6</v>
      </c>
      <c r="D84" s="56" t="n">
        <v>2444.6</v>
      </c>
      <c r="E84" s="56" t="n">
        <v>2444.6</v>
      </c>
      <c r="F84" s="56" t="n">
        <v>2444.6</v>
      </c>
      <c r="G84" s="56" t="n">
        <v>2444.6</v>
      </c>
      <c r="H84" s="56" t="n">
        <v>2444.6</v>
      </c>
      <c r="I84" s="56" t="n">
        <v>2444.6</v>
      </c>
      <c r="J84" s="56" t="n">
        <v>2444.6</v>
      </c>
      <c r="K84" s="56" t="n">
        <v>2444.6</v>
      </c>
      <c r="L84" s="56" t="n">
        <v>2444.6</v>
      </c>
      <c r="M84" s="56" t="n">
        <v>2444.6</v>
      </c>
      <c r="O84" s="57" t="n">
        <f aca="false">SUM(B84:M84)</f>
        <v>29335.2</v>
      </c>
    </row>
    <row r="85" customFormat="false" ht="15.75" hidden="false" customHeight="true" outlineLevel="0" collapsed="false">
      <c r="A85" s="5" t="s">
        <v>160</v>
      </c>
      <c r="B85" s="58" t="n">
        <v>-2919.58</v>
      </c>
      <c r="C85" s="58" t="n">
        <v>-2307.05</v>
      </c>
      <c r="D85" s="58" t="n">
        <v>-1694.52</v>
      </c>
      <c r="E85" s="58" t="n">
        <v>-994.49</v>
      </c>
      <c r="F85" s="58" t="n">
        <v>-294.46</v>
      </c>
      <c r="G85" s="59" t="n">
        <v>405.58</v>
      </c>
      <c r="H85" s="59" t="n">
        <v>1105.61</v>
      </c>
      <c r="I85" s="59" t="n">
        <v>1805.64</v>
      </c>
      <c r="J85" s="59" t="n">
        <v>2505.67</v>
      </c>
      <c r="K85" s="59" t="n">
        <v>3118.2</v>
      </c>
      <c r="L85" s="59" t="n">
        <v>3818.23</v>
      </c>
      <c r="M85" s="59" t="n">
        <v>4605.77</v>
      </c>
      <c r="O85" s="76" t="n">
        <f aca="false">SUM(B85:M85)</f>
        <v>9154.6</v>
      </c>
    </row>
    <row r="86" customFormat="false" ht="15.75" hidden="false" customHeight="true" outlineLevel="0" collapsed="false">
      <c r="A86" s="61" t="s">
        <v>161</v>
      </c>
      <c r="B86" s="62" t="n">
        <v>-2919.58</v>
      </c>
      <c r="C86" s="62" t="n">
        <v>-5226.62</v>
      </c>
      <c r="D86" s="62" t="n">
        <v>-6921.14</v>
      </c>
      <c r="E86" s="62" t="n">
        <v>-7915.63</v>
      </c>
      <c r="F86" s="62" t="n">
        <v>-8210.09</v>
      </c>
      <c r="G86" s="62" t="n">
        <v>-7804.51</v>
      </c>
      <c r="H86" s="62" t="n">
        <v>-6698.9</v>
      </c>
      <c r="I86" s="62" t="n">
        <v>-4893.26</v>
      </c>
      <c r="J86" s="62" t="n">
        <v>-2387.59</v>
      </c>
      <c r="K86" s="62" t="n">
        <v>730.61</v>
      </c>
      <c r="L86" s="62" t="n">
        <v>4548.84</v>
      </c>
      <c r="M86" s="62" t="n">
        <v>9154.61</v>
      </c>
      <c r="O86" s="76" t="n">
        <f aca="false">SUM(B86:M86)</f>
        <v>-38543.26</v>
      </c>
    </row>
    <row r="87" customFormat="false" ht="18" hidden="false" customHeight="true" outlineLevel="0" collapsed="false">
      <c r="A87" s="70" t="s">
        <v>166</v>
      </c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</row>
    <row r="89" customFormat="false" ht="19.5" hidden="false" customHeight="true" outlineLevel="0" collapsed="false">
      <c r="A89" s="19" t="s">
        <v>167</v>
      </c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</row>
    <row r="90" customFormat="false" ht="18" hidden="false" customHeight="true" outlineLevel="0" collapsed="false">
      <c r="A90" s="4" t="s">
        <v>168</v>
      </c>
      <c r="B90" s="4" t="s">
        <v>65</v>
      </c>
      <c r="C90" s="30" t="s">
        <v>169</v>
      </c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</row>
    <row r="91" customFormat="false" ht="15.75" hidden="false" customHeight="true" outlineLevel="0" collapsed="false">
      <c r="A91" s="5" t="s">
        <v>9</v>
      </c>
      <c r="B91" s="77" t="s">
        <v>83</v>
      </c>
      <c r="C91" s="34" t="s">
        <v>170</v>
      </c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</row>
    <row r="92" customFormat="false" ht="15.75" hidden="false" customHeight="true" outlineLevel="0" collapsed="false">
      <c r="A92" s="5" t="s">
        <v>89</v>
      </c>
      <c r="B92" s="77" t="s">
        <v>90</v>
      </c>
      <c r="C92" s="34" t="s">
        <v>171</v>
      </c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</row>
    <row r="93" customFormat="false" ht="15.75" hidden="false" customHeight="true" outlineLevel="0" collapsed="false">
      <c r="A93" s="11" t="s">
        <v>41</v>
      </c>
      <c r="B93" s="78" t="s">
        <v>42</v>
      </c>
      <c r="C93" s="34" t="s">
        <v>172</v>
      </c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</row>
    <row r="94" customFormat="false" ht="15.75" hidden="false" customHeight="true" outlineLevel="0" collapsed="false">
      <c r="A94" s="5" t="s">
        <v>173</v>
      </c>
      <c r="B94" s="77" t="s">
        <v>174</v>
      </c>
      <c r="C94" s="34" t="s">
        <v>175</v>
      </c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</row>
    <row r="95" customFormat="false" ht="15.75" hidden="false" customHeight="true" outlineLevel="0" collapsed="false">
      <c r="A95" s="11" t="s">
        <v>176</v>
      </c>
      <c r="B95" s="78" t="s">
        <v>177</v>
      </c>
      <c r="C95" s="34" t="s">
        <v>178</v>
      </c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</row>
    <row r="96" customFormat="false" ht="15.75" hidden="false" customHeight="true" outlineLevel="0" collapsed="false">
      <c r="A96" s="11" t="s">
        <v>179</v>
      </c>
      <c r="B96" s="78" t="s">
        <v>180</v>
      </c>
      <c r="C96" s="34" t="s">
        <v>181</v>
      </c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</row>
    <row r="97" customFormat="false" ht="15.75" hidden="false" customHeight="true" outlineLevel="0" collapsed="false">
      <c r="A97" s="10" t="s">
        <v>102</v>
      </c>
      <c r="B97" s="79" t="s">
        <v>182</v>
      </c>
      <c r="C97" s="34" t="s">
        <v>183</v>
      </c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</row>
    <row r="98" customFormat="false" ht="15.75" hidden="false" customHeight="true" outlineLevel="0" collapsed="false">
      <c r="A98" s="5" t="s">
        <v>184</v>
      </c>
      <c r="B98" s="77" t="s">
        <v>185</v>
      </c>
      <c r="C98" s="34" t="s">
        <v>186</v>
      </c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</row>
    <row r="99" customFormat="false" ht="15.75" hidden="false" customHeight="true" outlineLevel="0" collapsed="false">
      <c r="A99" s="11" t="s">
        <v>187</v>
      </c>
      <c r="B99" s="78" t="s">
        <v>188</v>
      </c>
      <c r="C99" s="34" t="s">
        <v>189</v>
      </c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</row>
  </sheetData>
  <mergeCells count="60">
    <mergeCell ref="A1:O1"/>
    <mergeCell ref="A2:O2"/>
    <mergeCell ref="A4:O4"/>
    <mergeCell ref="D5:O5"/>
    <mergeCell ref="D6:O6"/>
    <mergeCell ref="D7:O7"/>
    <mergeCell ref="D8:O8"/>
    <mergeCell ref="D9:O9"/>
    <mergeCell ref="D10:O10"/>
    <mergeCell ref="D11:O11"/>
    <mergeCell ref="D12:O12"/>
    <mergeCell ref="D13:O13"/>
    <mergeCell ref="D14:O14"/>
    <mergeCell ref="D15:O15"/>
    <mergeCell ref="D16:O16"/>
    <mergeCell ref="D17:O17"/>
    <mergeCell ref="D18:O18"/>
    <mergeCell ref="D19:O19"/>
    <mergeCell ref="D20:O20"/>
    <mergeCell ref="A22:O22"/>
    <mergeCell ref="E23:O23"/>
    <mergeCell ref="E24:O24"/>
    <mergeCell ref="E25:O25"/>
    <mergeCell ref="E26:O26"/>
    <mergeCell ref="E27:O27"/>
    <mergeCell ref="E28:O28"/>
    <mergeCell ref="E29:O29"/>
    <mergeCell ref="E30:O30"/>
    <mergeCell ref="E31:O31"/>
    <mergeCell ref="E32:O32"/>
    <mergeCell ref="E33:O33"/>
    <mergeCell ref="E34:O34"/>
    <mergeCell ref="E35:O35"/>
    <mergeCell ref="A38:O38"/>
    <mergeCell ref="D39:O39"/>
    <mergeCell ref="C40:O40"/>
    <mergeCell ref="C41:O41"/>
    <mergeCell ref="C42:O42"/>
    <mergeCell ref="C43:O43"/>
    <mergeCell ref="C44:O44"/>
    <mergeCell ref="C45:O45"/>
    <mergeCell ref="C46:O46"/>
    <mergeCell ref="C47:O47"/>
    <mergeCell ref="A50:O50"/>
    <mergeCell ref="A61:O61"/>
    <mergeCell ref="A63:O63"/>
    <mergeCell ref="A74:O74"/>
    <mergeCell ref="A76:O76"/>
    <mergeCell ref="A87:O87"/>
    <mergeCell ref="A89:O89"/>
    <mergeCell ref="C90:O90"/>
    <mergeCell ref="C91:O91"/>
    <mergeCell ref="C92:O92"/>
    <mergeCell ref="C93:O93"/>
    <mergeCell ref="C94:O94"/>
    <mergeCell ref="C95:O95"/>
    <mergeCell ref="C96:O96"/>
    <mergeCell ref="C97:O97"/>
    <mergeCell ref="C98:O98"/>
    <mergeCell ref="C99:O9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5" min="2" style="0" width="11"/>
  </cols>
  <sheetData>
    <row r="1" customFormat="false" ht="25.5" hidden="false" customHeight="true" outlineLevel="0" collapsed="false">
      <c r="A1" s="1" t="s">
        <v>190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2" t="s">
        <v>191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9.5" hidden="false" customHeight="true" outlineLevel="0" collapsed="false">
      <c r="A4" s="19" t="s">
        <v>63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5" customFormat="false" ht="18" hidden="false" customHeight="true" outlineLevel="0" collapsed="false">
      <c r="A5" s="4" t="s">
        <v>64</v>
      </c>
      <c r="B5" s="4" t="s">
        <v>65</v>
      </c>
      <c r="C5" s="4" t="s">
        <v>66</v>
      </c>
      <c r="D5" s="30" t="s">
        <v>67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</row>
    <row r="6" customFormat="false" ht="15" hidden="false" customHeight="true" outlineLevel="0" collapsed="false">
      <c r="A6" s="31" t="s">
        <v>68</v>
      </c>
      <c r="B6" s="32" t="s">
        <v>69</v>
      </c>
      <c r="C6" s="33" t="s">
        <v>70</v>
      </c>
      <c r="D6" s="34" t="s">
        <v>71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</row>
    <row r="7" customFormat="false" ht="15" hidden="false" customHeight="true" outlineLevel="0" collapsed="false">
      <c r="A7" s="31" t="s">
        <v>72</v>
      </c>
      <c r="B7" s="32" t="s">
        <v>73</v>
      </c>
      <c r="C7" s="33" t="s">
        <v>70</v>
      </c>
      <c r="D7" s="34" t="s">
        <v>71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customFormat="false" ht="15" hidden="false" customHeight="true" outlineLevel="0" collapsed="false">
      <c r="A8" s="31" t="s">
        <v>74</v>
      </c>
      <c r="B8" s="32" t="s">
        <v>75</v>
      </c>
      <c r="C8" s="33" t="s">
        <v>70</v>
      </c>
      <c r="D8" s="34" t="s">
        <v>71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</row>
    <row r="9" customFormat="false" ht="15" hidden="false" customHeight="true" outlineLevel="0" collapsed="false">
      <c r="A9" s="31" t="s">
        <v>76</v>
      </c>
      <c r="B9" s="32" t="s">
        <v>192</v>
      </c>
      <c r="C9" s="33" t="s">
        <v>70</v>
      </c>
      <c r="D9" s="34" t="s">
        <v>78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</row>
    <row r="10" customFormat="false" ht="15" hidden="false" customHeight="true" outlineLevel="0" collapsed="false">
      <c r="A10" s="31" t="s">
        <v>79</v>
      </c>
      <c r="B10" s="32" t="s">
        <v>193</v>
      </c>
      <c r="C10" s="33" t="s">
        <v>70</v>
      </c>
      <c r="D10" s="34" t="s">
        <v>78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</row>
    <row r="11" customFormat="false" ht="15" hidden="false" customHeight="true" outlineLevel="0" collapsed="false">
      <c r="A11" s="31" t="s">
        <v>81</v>
      </c>
      <c r="B11" s="32" t="s">
        <v>82</v>
      </c>
      <c r="C11" s="33" t="s">
        <v>70</v>
      </c>
      <c r="D11" s="34" t="s">
        <v>78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customFormat="false" ht="15" hidden="false" customHeight="true" outlineLevel="0" collapsed="false">
      <c r="A12" s="31" t="s">
        <v>9</v>
      </c>
      <c r="B12" s="32" t="s">
        <v>194</v>
      </c>
      <c r="C12" s="33" t="s">
        <v>84</v>
      </c>
      <c r="D12" s="34" t="s">
        <v>195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</row>
    <row r="13" customFormat="false" ht="15" hidden="false" customHeight="true" outlineLevel="0" collapsed="false">
      <c r="A13" s="31" t="s">
        <v>86</v>
      </c>
      <c r="B13" s="32" t="s">
        <v>87</v>
      </c>
      <c r="C13" s="33" t="s">
        <v>70</v>
      </c>
      <c r="D13" s="34" t="s">
        <v>88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</row>
    <row r="14" customFormat="false" ht="15" hidden="false" customHeight="true" outlineLevel="0" collapsed="false">
      <c r="A14" s="31" t="s">
        <v>89</v>
      </c>
      <c r="B14" s="32" t="s">
        <v>196</v>
      </c>
      <c r="C14" s="33" t="s">
        <v>84</v>
      </c>
      <c r="D14" s="34" t="s">
        <v>91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</row>
    <row r="15" customFormat="false" ht="15" hidden="false" customHeight="true" outlineLevel="0" collapsed="false">
      <c r="A15" s="31" t="s">
        <v>92</v>
      </c>
      <c r="B15" s="32" t="s">
        <v>93</v>
      </c>
      <c r="C15" s="33" t="s">
        <v>70</v>
      </c>
      <c r="D15" s="34" t="s">
        <v>94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</row>
    <row r="16" customFormat="false" ht="15" hidden="false" customHeight="true" outlineLevel="0" collapsed="false">
      <c r="A16" s="31" t="s">
        <v>95</v>
      </c>
      <c r="B16" s="32" t="s">
        <v>96</v>
      </c>
      <c r="C16" s="33" t="s">
        <v>70</v>
      </c>
      <c r="D16" s="34" t="s">
        <v>97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</row>
    <row r="17" customFormat="false" ht="15" hidden="false" customHeight="true" outlineLevel="0" collapsed="false">
      <c r="A17" s="31" t="s">
        <v>98</v>
      </c>
      <c r="B17" s="32" t="s">
        <v>99</v>
      </c>
      <c r="C17" s="33" t="s">
        <v>84</v>
      </c>
      <c r="D17" s="34" t="s">
        <v>100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</row>
    <row r="18" customFormat="false" ht="15" hidden="false" customHeight="true" outlineLevel="0" collapsed="false">
      <c r="A18" s="31" t="s">
        <v>41</v>
      </c>
      <c r="B18" s="32" t="s">
        <v>43</v>
      </c>
      <c r="C18" s="33" t="s">
        <v>84</v>
      </c>
      <c r="D18" s="34" t="s">
        <v>197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</row>
    <row r="19" customFormat="false" ht="15" hidden="false" customHeight="true" outlineLevel="0" collapsed="false">
      <c r="A19" s="31" t="s">
        <v>102</v>
      </c>
      <c r="B19" s="32" t="s">
        <v>198</v>
      </c>
      <c r="C19" s="33" t="s">
        <v>84</v>
      </c>
      <c r="D19" s="34" t="s">
        <v>199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</row>
    <row r="20" customFormat="false" ht="15" hidden="false" customHeight="true" outlineLevel="0" collapsed="false">
      <c r="A20" s="31" t="s">
        <v>105</v>
      </c>
      <c r="B20" s="32" t="s">
        <v>106</v>
      </c>
      <c r="C20" s="33" t="s">
        <v>70</v>
      </c>
      <c r="D20" s="34" t="s">
        <v>107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</row>
    <row r="22" customFormat="false" ht="19.5" hidden="false" customHeight="true" outlineLevel="0" collapsed="false">
      <c r="A22" s="19" t="s">
        <v>108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customFormat="false" ht="18" hidden="false" customHeight="true" outlineLevel="0" collapsed="false">
      <c r="A23" s="4" t="s">
        <v>109</v>
      </c>
      <c r="B23" s="4" t="s">
        <v>110</v>
      </c>
      <c r="C23" s="4" t="s">
        <v>111</v>
      </c>
      <c r="D23" s="4" t="s">
        <v>66</v>
      </c>
      <c r="E23" s="30" t="s">
        <v>112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</row>
    <row r="24" customFormat="false" ht="15" hidden="false" customHeight="true" outlineLevel="0" collapsed="false">
      <c r="A24" s="31" t="s">
        <v>113</v>
      </c>
      <c r="B24" s="35" t="n">
        <v>25</v>
      </c>
      <c r="C24" s="36" t="n">
        <f aca="false">B24*12</f>
        <v>300</v>
      </c>
      <c r="D24" s="33" t="s">
        <v>114</v>
      </c>
      <c r="E24" s="34" t="s">
        <v>70</v>
      </c>
      <c r="F24" s="34"/>
      <c r="G24" s="34"/>
      <c r="H24" s="34"/>
      <c r="I24" s="34"/>
      <c r="J24" s="34"/>
      <c r="K24" s="34"/>
      <c r="L24" s="34"/>
      <c r="M24" s="34"/>
      <c r="N24" s="34"/>
      <c r="O24" s="34"/>
    </row>
    <row r="25" customFormat="false" ht="15" hidden="false" customHeight="true" outlineLevel="0" collapsed="false">
      <c r="A25" s="31" t="s">
        <v>115</v>
      </c>
      <c r="B25" s="35" t="n">
        <v>4.6</v>
      </c>
      <c r="C25" s="36" t="n">
        <f aca="false">B25*12</f>
        <v>55.2</v>
      </c>
      <c r="D25" s="33" t="s">
        <v>114</v>
      </c>
      <c r="E25" s="34" t="s">
        <v>70</v>
      </c>
      <c r="F25" s="34"/>
      <c r="G25" s="34"/>
      <c r="H25" s="34"/>
      <c r="I25" s="34"/>
      <c r="J25" s="34"/>
      <c r="K25" s="34"/>
      <c r="L25" s="34"/>
      <c r="M25" s="34"/>
      <c r="N25" s="34"/>
      <c r="O25" s="34"/>
    </row>
    <row r="26" customFormat="false" ht="15" hidden="false" customHeight="true" outlineLevel="0" collapsed="false">
      <c r="A26" s="31" t="s">
        <v>116</v>
      </c>
      <c r="B26" s="35" t="n">
        <v>25</v>
      </c>
      <c r="C26" s="36" t="n">
        <f aca="false">B26*12</f>
        <v>300</v>
      </c>
      <c r="D26" s="33" t="s">
        <v>114</v>
      </c>
      <c r="E26" s="34" t="s">
        <v>70</v>
      </c>
      <c r="F26" s="34"/>
      <c r="G26" s="34"/>
      <c r="H26" s="34"/>
      <c r="I26" s="34"/>
      <c r="J26" s="34"/>
      <c r="K26" s="34"/>
      <c r="L26" s="34"/>
      <c r="M26" s="34"/>
      <c r="N26" s="34"/>
      <c r="O26" s="34"/>
    </row>
    <row r="27" customFormat="false" ht="15" hidden="false" customHeight="true" outlineLevel="0" collapsed="false">
      <c r="A27" s="31" t="s">
        <v>117</v>
      </c>
      <c r="B27" s="35" t="n">
        <v>5</v>
      </c>
      <c r="C27" s="36" t="n">
        <f aca="false">B27*12</f>
        <v>60</v>
      </c>
      <c r="D27" s="33" t="s">
        <v>114</v>
      </c>
      <c r="E27" s="34" t="s">
        <v>70</v>
      </c>
      <c r="F27" s="34"/>
      <c r="G27" s="34"/>
      <c r="H27" s="34"/>
      <c r="I27" s="34"/>
      <c r="J27" s="34"/>
      <c r="K27" s="34"/>
      <c r="L27" s="34"/>
      <c r="M27" s="34"/>
      <c r="N27" s="34"/>
      <c r="O27" s="34"/>
    </row>
    <row r="28" customFormat="false" ht="15" hidden="false" customHeight="true" outlineLevel="0" collapsed="false">
      <c r="A28" s="31" t="s">
        <v>118</v>
      </c>
      <c r="B28" s="35" t="n">
        <v>50</v>
      </c>
      <c r="C28" s="36" t="n">
        <f aca="false">B28*12</f>
        <v>600</v>
      </c>
      <c r="D28" s="33" t="s">
        <v>114</v>
      </c>
      <c r="E28" s="34" t="s">
        <v>119</v>
      </c>
      <c r="F28" s="34"/>
      <c r="G28" s="34"/>
      <c r="H28" s="34"/>
      <c r="I28" s="34"/>
      <c r="J28" s="34"/>
      <c r="K28" s="34"/>
      <c r="L28" s="34"/>
      <c r="M28" s="34"/>
      <c r="N28" s="34"/>
      <c r="O28" s="34"/>
    </row>
    <row r="29" customFormat="false" ht="15" hidden="false" customHeight="true" outlineLevel="0" collapsed="false">
      <c r="A29" s="31" t="s">
        <v>120</v>
      </c>
      <c r="B29" s="35" t="n">
        <v>50</v>
      </c>
      <c r="C29" s="36" t="n">
        <f aca="false">B29*12</f>
        <v>600</v>
      </c>
      <c r="D29" s="33" t="s">
        <v>114</v>
      </c>
      <c r="E29" s="34" t="s">
        <v>119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</row>
    <row r="30" customFormat="false" ht="15" hidden="false" customHeight="true" outlineLevel="0" collapsed="false">
      <c r="A30" s="31" t="s">
        <v>121</v>
      </c>
      <c r="B30" s="35" t="n">
        <v>75</v>
      </c>
      <c r="C30" s="36" t="n">
        <f aca="false">B30*12</f>
        <v>900</v>
      </c>
      <c r="D30" s="33" t="s">
        <v>114</v>
      </c>
      <c r="E30" s="34" t="s">
        <v>119</v>
      </c>
      <c r="F30" s="34"/>
      <c r="G30" s="34"/>
      <c r="H30" s="34"/>
      <c r="I30" s="34"/>
      <c r="J30" s="34"/>
      <c r="K30" s="34"/>
      <c r="L30" s="34"/>
      <c r="M30" s="34"/>
      <c r="N30" s="34"/>
      <c r="O30" s="34"/>
    </row>
    <row r="31" customFormat="false" ht="15" hidden="false" customHeight="true" outlineLevel="0" collapsed="false">
      <c r="A31" s="31" t="s">
        <v>122</v>
      </c>
      <c r="B31" s="35" t="n">
        <v>200</v>
      </c>
      <c r="C31" s="36" t="n">
        <f aca="false">B31*12</f>
        <v>2400</v>
      </c>
      <c r="D31" s="33" t="s">
        <v>114</v>
      </c>
      <c r="E31" s="34" t="s">
        <v>123</v>
      </c>
      <c r="F31" s="34"/>
      <c r="G31" s="34"/>
      <c r="H31" s="34"/>
      <c r="I31" s="34"/>
      <c r="J31" s="34"/>
      <c r="K31" s="34"/>
      <c r="L31" s="34"/>
      <c r="M31" s="34"/>
      <c r="N31" s="34"/>
      <c r="O31" s="34"/>
    </row>
    <row r="32" customFormat="false" ht="15" hidden="false" customHeight="true" outlineLevel="0" collapsed="false">
      <c r="A32" s="31" t="s">
        <v>124</v>
      </c>
      <c r="B32" s="35" t="n">
        <v>10</v>
      </c>
      <c r="C32" s="36" t="n">
        <f aca="false">B32*12</f>
        <v>120</v>
      </c>
      <c r="D32" s="33" t="s">
        <v>114</v>
      </c>
      <c r="E32" s="34" t="s">
        <v>123</v>
      </c>
      <c r="F32" s="34"/>
      <c r="G32" s="34"/>
      <c r="H32" s="34"/>
      <c r="I32" s="34"/>
      <c r="J32" s="34"/>
      <c r="K32" s="34"/>
      <c r="L32" s="34"/>
      <c r="M32" s="34"/>
      <c r="N32" s="34"/>
      <c r="O32" s="34"/>
    </row>
    <row r="33" customFormat="false" ht="15" hidden="false" customHeight="true" outlineLevel="0" collapsed="false">
      <c r="A33" s="31" t="s">
        <v>125</v>
      </c>
      <c r="B33" s="35" t="n">
        <v>800</v>
      </c>
      <c r="C33" s="36" t="n">
        <f aca="false">B33*12</f>
        <v>9600</v>
      </c>
      <c r="D33" s="33" t="s">
        <v>114</v>
      </c>
      <c r="E33" s="34" t="s">
        <v>70</v>
      </c>
      <c r="F33" s="34"/>
      <c r="G33" s="34"/>
      <c r="H33" s="34"/>
      <c r="I33" s="34"/>
      <c r="J33" s="34"/>
      <c r="K33" s="34"/>
      <c r="L33" s="34"/>
      <c r="M33" s="34"/>
      <c r="N33" s="34"/>
      <c r="O33" s="34"/>
    </row>
    <row r="34" customFormat="false" ht="15" hidden="false" customHeight="true" outlineLevel="0" collapsed="false">
      <c r="A34" s="31" t="s">
        <v>126</v>
      </c>
      <c r="B34" s="35" t="n">
        <v>800</v>
      </c>
      <c r="C34" s="36" t="n">
        <f aca="false">B34*12</f>
        <v>9600</v>
      </c>
      <c r="D34" s="33" t="s">
        <v>114</v>
      </c>
      <c r="E34" s="34" t="s">
        <v>70</v>
      </c>
      <c r="F34" s="34"/>
      <c r="G34" s="34"/>
      <c r="H34" s="34"/>
      <c r="I34" s="34"/>
      <c r="J34" s="34"/>
      <c r="K34" s="34"/>
      <c r="L34" s="34"/>
      <c r="M34" s="34"/>
      <c r="N34" s="34"/>
      <c r="O34" s="34"/>
    </row>
    <row r="35" customFormat="false" ht="15" hidden="false" customHeight="true" outlineLevel="0" collapsed="false">
      <c r="A35" s="31" t="s">
        <v>127</v>
      </c>
      <c r="B35" s="35" t="n">
        <v>400</v>
      </c>
      <c r="C35" s="36" t="n">
        <f aca="false">B35*12</f>
        <v>4800</v>
      </c>
      <c r="D35" s="33" t="s">
        <v>114</v>
      </c>
      <c r="E35" s="34" t="s">
        <v>70</v>
      </c>
      <c r="F35" s="34"/>
      <c r="G35" s="34"/>
      <c r="H35" s="34"/>
      <c r="I35" s="34"/>
      <c r="J35" s="34"/>
      <c r="K35" s="34"/>
      <c r="L35" s="34"/>
      <c r="M35" s="34"/>
      <c r="N35" s="34"/>
      <c r="O35" s="34"/>
    </row>
    <row r="36" customFormat="false" ht="18" hidden="false" customHeight="true" outlineLevel="0" collapsed="false">
      <c r="A36" s="37" t="s">
        <v>128</v>
      </c>
      <c r="B36" s="38" t="n">
        <f aca="false">SUM(B24:B35)</f>
        <v>2444.6</v>
      </c>
      <c r="C36" s="38" t="n">
        <f aca="false">B36*12</f>
        <v>29335.2</v>
      </c>
    </row>
    <row r="38" customFormat="false" ht="19.5" hidden="false" customHeight="true" outlineLevel="0" collapsed="false">
      <c r="A38" s="19" t="s">
        <v>129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</row>
    <row r="39" customFormat="false" ht="18" hidden="false" customHeight="true" outlineLevel="0" collapsed="false">
      <c r="A39" s="4" t="s">
        <v>130</v>
      </c>
      <c r="B39" s="4" t="s">
        <v>131</v>
      </c>
      <c r="C39" s="4" t="s">
        <v>66</v>
      </c>
      <c r="D39" s="30" t="s">
        <v>132</v>
      </c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</row>
    <row r="40" customFormat="false" ht="15" hidden="false" customHeight="true" outlineLevel="0" collapsed="false">
      <c r="A40" s="31" t="s">
        <v>133</v>
      </c>
      <c r="B40" s="35" t="n">
        <v>540</v>
      </c>
      <c r="C40" s="39" t="s">
        <v>70</v>
      </c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</row>
    <row r="41" customFormat="false" ht="15" hidden="false" customHeight="true" outlineLevel="0" collapsed="false">
      <c r="A41" s="31" t="s">
        <v>134</v>
      </c>
      <c r="B41" s="35" t="n">
        <v>650</v>
      </c>
      <c r="C41" s="39" t="s">
        <v>70</v>
      </c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</row>
    <row r="42" customFormat="false" ht="15" hidden="false" customHeight="true" outlineLevel="0" collapsed="false">
      <c r="A42" s="31" t="s">
        <v>135</v>
      </c>
      <c r="B42" s="35" t="n">
        <v>315</v>
      </c>
      <c r="C42" s="39" t="s">
        <v>136</v>
      </c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</row>
    <row r="43" customFormat="false" ht="15" hidden="false" customHeight="true" outlineLevel="0" collapsed="false">
      <c r="A43" s="31" t="s">
        <v>137</v>
      </c>
      <c r="B43" s="35" t="n">
        <v>525</v>
      </c>
      <c r="C43" s="39" t="s">
        <v>136</v>
      </c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</row>
    <row r="44" customFormat="false" ht="15" hidden="false" customHeight="true" outlineLevel="0" collapsed="false">
      <c r="A44" s="31" t="s">
        <v>138</v>
      </c>
      <c r="B44" s="35" t="n">
        <v>200</v>
      </c>
      <c r="C44" s="39" t="s">
        <v>136</v>
      </c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</row>
    <row r="45" customFormat="false" ht="15" hidden="false" customHeight="true" outlineLevel="0" collapsed="false">
      <c r="A45" s="31" t="s">
        <v>139</v>
      </c>
      <c r="B45" s="35" t="n">
        <v>300</v>
      </c>
      <c r="C45" s="39" t="s">
        <v>140</v>
      </c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</row>
    <row r="46" customFormat="false" ht="15" hidden="false" customHeight="true" outlineLevel="0" collapsed="false">
      <c r="A46" s="31" t="s">
        <v>141</v>
      </c>
      <c r="B46" s="35" t="n">
        <v>50</v>
      </c>
      <c r="C46" s="39" t="s">
        <v>123</v>
      </c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</row>
    <row r="47" customFormat="false" ht="15" hidden="false" customHeight="true" outlineLevel="0" collapsed="false">
      <c r="A47" s="31" t="s">
        <v>142</v>
      </c>
      <c r="B47" s="35" t="n">
        <v>250</v>
      </c>
      <c r="C47" s="39" t="s">
        <v>123</v>
      </c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</row>
    <row r="48" customFormat="false" ht="18" hidden="false" customHeight="true" outlineLevel="0" collapsed="false">
      <c r="A48" s="37" t="s">
        <v>143</v>
      </c>
      <c r="B48" s="38" t="n">
        <f aca="false">SUM(B40:B47)</f>
        <v>2830</v>
      </c>
    </row>
    <row r="50" customFormat="false" ht="21.75" hidden="false" customHeight="true" outlineLevel="0" collapsed="false">
      <c r="A50" s="40" t="s">
        <v>144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</row>
    <row r="51" customFormat="false" ht="18" hidden="false" customHeight="true" outlineLevel="0" collapsed="false">
      <c r="A51" s="4" t="s">
        <v>145</v>
      </c>
      <c r="B51" s="4" t="s">
        <v>146</v>
      </c>
      <c r="C51" s="4" t="s">
        <v>147</v>
      </c>
      <c r="D51" s="4" t="s">
        <v>148</v>
      </c>
      <c r="E51" s="4" t="s">
        <v>37</v>
      </c>
      <c r="F51" s="4" t="s">
        <v>149</v>
      </c>
      <c r="G51" s="4" t="s">
        <v>34</v>
      </c>
      <c r="H51" s="4" t="s">
        <v>36</v>
      </c>
      <c r="I51" s="4" t="s">
        <v>33</v>
      </c>
      <c r="J51" s="4" t="s">
        <v>35</v>
      </c>
      <c r="K51" s="4" t="s">
        <v>40</v>
      </c>
      <c r="L51" s="4" t="s">
        <v>150</v>
      </c>
      <c r="M51" s="4" t="s">
        <v>151</v>
      </c>
      <c r="N51" s="4" t="s">
        <v>152</v>
      </c>
    </row>
    <row r="52" customFormat="false" ht="15.75" hidden="false" customHeight="true" outlineLevel="0" collapsed="false">
      <c r="A52" s="41" t="s">
        <v>153</v>
      </c>
      <c r="B52" s="42" t="n">
        <v>2</v>
      </c>
      <c r="C52" s="42" t="n">
        <v>5</v>
      </c>
      <c r="D52" s="42" t="n">
        <v>9</v>
      </c>
      <c r="E52" s="42" t="n">
        <v>12</v>
      </c>
      <c r="F52" s="42" t="n">
        <v>16</v>
      </c>
      <c r="G52" s="42" t="n">
        <v>20</v>
      </c>
      <c r="H52" s="42" t="n">
        <v>26</v>
      </c>
      <c r="I52" s="42" t="n">
        <v>31</v>
      </c>
      <c r="J52" s="42" t="n">
        <v>36</v>
      </c>
      <c r="K52" s="42" t="n">
        <v>41</v>
      </c>
      <c r="L52" s="42" t="n">
        <v>46</v>
      </c>
      <c r="M52" s="42" t="n">
        <v>53</v>
      </c>
      <c r="O52" s="43" t="n">
        <f aca="false">SUM(B52:M52)</f>
        <v>297</v>
      </c>
    </row>
    <row r="53" customFormat="false" ht="15.75" hidden="false" customHeight="true" outlineLevel="0" collapsed="false">
      <c r="A53" s="10" t="s">
        <v>154</v>
      </c>
      <c r="B53" s="44" t="n">
        <v>2</v>
      </c>
      <c r="C53" s="44" t="n">
        <v>5</v>
      </c>
      <c r="D53" s="44" t="n">
        <v>9</v>
      </c>
      <c r="E53" s="44" t="n">
        <v>12</v>
      </c>
      <c r="F53" s="44" t="n">
        <v>16</v>
      </c>
      <c r="G53" s="44" t="n">
        <v>21</v>
      </c>
      <c r="H53" s="44" t="n">
        <v>27</v>
      </c>
      <c r="I53" s="44" t="n">
        <v>32</v>
      </c>
      <c r="J53" s="44" t="n">
        <v>38</v>
      </c>
      <c r="K53" s="44" t="n">
        <v>43</v>
      </c>
      <c r="L53" s="44" t="n">
        <v>49</v>
      </c>
      <c r="M53" s="44" t="n">
        <v>56</v>
      </c>
      <c r="O53" s="45" t="n">
        <f aca="false">SUM(B53:M53)</f>
        <v>310</v>
      </c>
    </row>
    <row r="54" customFormat="false" ht="15.75" hidden="false" customHeight="true" outlineLevel="0" collapsed="false">
      <c r="A54" s="31" t="s">
        <v>155</v>
      </c>
      <c r="B54" s="46" t="n">
        <v>138</v>
      </c>
      <c r="C54" s="46" t="n">
        <v>345</v>
      </c>
      <c r="D54" s="46" t="n">
        <v>621</v>
      </c>
      <c r="E54" s="46" t="n">
        <v>828</v>
      </c>
      <c r="F54" s="46" t="n">
        <v>1104</v>
      </c>
      <c r="G54" s="46" t="n">
        <v>1449</v>
      </c>
      <c r="H54" s="46" t="n">
        <v>1863</v>
      </c>
      <c r="I54" s="46" t="n">
        <v>2208</v>
      </c>
      <c r="J54" s="46" t="n">
        <v>2622</v>
      </c>
      <c r="K54" s="46" t="n">
        <v>2967</v>
      </c>
      <c r="L54" s="46" t="n">
        <v>3381</v>
      </c>
      <c r="M54" s="46" t="n">
        <v>3864</v>
      </c>
      <c r="O54" s="47" t="n">
        <f aca="false">SUM(B54:M54)</f>
        <v>21390</v>
      </c>
    </row>
    <row r="55" customFormat="false" ht="15.75" hidden="false" customHeight="true" outlineLevel="0" collapsed="false">
      <c r="A55" s="31" t="s">
        <v>156</v>
      </c>
      <c r="B55" s="48" t="n">
        <v>2.43</v>
      </c>
      <c r="C55" s="48" t="n">
        <v>6.08</v>
      </c>
      <c r="D55" s="48" t="n">
        <v>10.94</v>
      </c>
      <c r="E55" s="48" t="n">
        <v>14.59</v>
      </c>
      <c r="F55" s="48" t="n">
        <v>19.46</v>
      </c>
      <c r="G55" s="48" t="n">
        <v>25.54</v>
      </c>
      <c r="H55" s="48" t="n">
        <v>32.83</v>
      </c>
      <c r="I55" s="48" t="n">
        <v>38.91</v>
      </c>
      <c r="J55" s="48" t="n">
        <v>46.21</v>
      </c>
      <c r="K55" s="48" t="n">
        <v>52.29</v>
      </c>
      <c r="L55" s="48" t="n">
        <v>59.58</v>
      </c>
      <c r="M55" s="48" t="n">
        <v>68.1</v>
      </c>
      <c r="O55" s="49" t="n">
        <f aca="false">SUM(B55:M55)</f>
        <v>376.96</v>
      </c>
    </row>
    <row r="56" customFormat="false" ht="15.75" hidden="false" customHeight="true" outlineLevel="0" collapsed="false">
      <c r="A56" s="11" t="s">
        <v>157</v>
      </c>
      <c r="B56" s="50" t="n">
        <v>135.57</v>
      </c>
      <c r="C56" s="50" t="n">
        <v>338.92</v>
      </c>
      <c r="D56" s="50" t="n">
        <v>610.06</v>
      </c>
      <c r="E56" s="50" t="n">
        <v>813.41</v>
      </c>
      <c r="F56" s="50" t="n">
        <v>1084.54</v>
      </c>
      <c r="G56" s="50" t="n">
        <v>1423.46</v>
      </c>
      <c r="H56" s="50" t="n">
        <v>1830.17</v>
      </c>
      <c r="I56" s="50" t="n">
        <v>2169.09</v>
      </c>
      <c r="J56" s="50" t="n">
        <v>2575.79</v>
      </c>
      <c r="K56" s="50" t="n">
        <v>2914.71</v>
      </c>
      <c r="L56" s="50" t="n">
        <v>3321.42</v>
      </c>
      <c r="M56" s="50" t="n">
        <v>3795.9</v>
      </c>
      <c r="O56" s="51" t="n">
        <f aca="false">SUM(B56:M56)</f>
        <v>21013.04</v>
      </c>
    </row>
    <row r="57" customFormat="false" ht="15.75" hidden="false" customHeight="true" outlineLevel="0" collapsed="false">
      <c r="A57" s="52" t="s">
        <v>158</v>
      </c>
      <c r="B57" s="53" t="n">
        <v>0</v>
      </c>
      <c r="C57" s="53" t="n">
        <v>0</v>
      </c>
      <c r="D57" s="53" t="n">
        <v>0</v>
      </c>
      <c r="E57" s="53" t="n">
        <v>0</v>
      </c>
      <c r="F57" s="53" t="n">
        <v>0</v>
      </c>
      <c r="G57" s="53" t="n">
        <v>0</v>
      </c>
      <c r="H57" s="53" t="n">
        <v>0</v>
      </c>
      <c r="I57" s="53" t="n">
        <v>0</v>
      </c>
      <c r="J57" s="53" t="n">
        <v>0</v>
      </c>
      <c r="K57" s="53" t="n">
        <v>0</v>
      </c>
      <c r="L57" s="53" t="n">
        <v>0</v>
      </c>
      <c r="M57" s="53" t="n">
        <v>0</v>
      </c>
      <c r="O57" s="54" t="n">
        <f aca="false">SUM(B57:M57)</f>
        <v>0</v>
      </c>
    </row>
    <row r="58" customFormat="false" ht="15.75" hidden="false" customHeight="true" outlineLevel="0" collapsed="false">
      <c r="A58" s="55" t="s">
        <v>159</v>
      </c>
      <c r="B58" s="56" t="n">
        <v>2444.6</v>
      </c>
      <c r="C58" s="56" t="n">
        <v>2444.6</v>
      </c>
      <c r="D58" s="56" t="n">
        <v>2444.6</v>
      </c>
      <c r="E58" s="56" t="n">
        <v>2444.6</v>
      </c>
      <c r="F58" s="56" t="n">
        <v>2444.6</v>
      </c>
      <c r="G58" s="56" t="n">
        <v>2444.6</v>
      </c>
      <c r="H58" s="56" t="n">
        <v>2444.6</v>
      </c>
      <c r="I58" s="56" t="n">
        <v>2444.6</v>
      </c>
      <c r="J58" s="56" t="n">
        <v>2444.6</v>
      </c>
      <c r="K58" s="56" t="n">
        <v>2444.6</v>
      </c>
      <c r="L58" s="56" t="n">
        <v>2444.6</v>
      </c>
      <c r="M58" s="56" t="n">
        <v>2444.6</v>
      </c>
      <c r="O58" s="57" t="n">
        <f aca="false">SUM(B58:M58)</f>
        <v>29335.2</v>
      </c>
    </row>
    <row r="59" customFormat="false" ht="15.75" hidden="false" customHeight="true" outlineLevel="0" collapsed="false">
      <c r="A59" s="5" t="s">
        <v>160</v>
      </c>
      <c r="B59" s="58" t="n">
        <v>-2309.03</v>
      </c>
      <c r="C59" s="58" t="n">
        <v>-2105.68</v>
      </c>
      <c r="D59" s="58" t="n">
        <v>-1834.54</v>
      </c>
      <c r="E59" s="58" t="n">
        <v>-1631.19</v>
      </c>
      <c r="F59" s="58" t="n">
        <v>-1360.06</v>
      </c>
      <c r="G59" s="58" t="n">
        <v>-1021.14</v>
      </c>
      <c r="H59" s="58" t="n">
        <v>-614.43</v>
      </c>
      <c r="I59" s="58" t="n">
        <v>-275.51</v>
      </c>
      <c r="J59" s="59" t="n">
        <v>131.19</v>
      </c>
      <c r="K59" s="59" t="n">
        <v>470.11</v>
      </c>
      <c r="L59" s="59" t="n">
        <v>876.82</v>
      </c>
      <c r="M59" s="59" t="n">
        <v>1351.3</v>
      </c>
      <c r="O59" s="60" t="n">
        <f aca="false">SUM(B59:M59)</f>
        <v>-8322.16</v>
      </c>
    </row>
    <row r="60" customFormat="false" ht="15.75" hidden="false" customHeight="true" outlineLevel="0" collapsed="false">
      <c r="A60" s="61" t="s">
        <v>161</v>
      </c>
      <c r="B60" s="62" t="n">
        <v>-2309.03</v>
      </c>
      <c r="C60" s="62" t="n">
        <v>-4414.71</v>
      </c>
      <c r="D60" s="62" t="n">
        <v>-6249.26</v>
      </c>
      <c r="E60" s="62" t="n">
        <v>-7880.45</v>
      </c>
      <c r="F60" s="62" t="n">
        <v>-9240.5</v>
      </c>
      <c r="G60" s="62" t="n">
        <v>-10261.64</v>
      </c>
      <c r="H60" s="62" t="n">
        <v>-10876.07</v>
      </c>
      <c r="I60" s="62" t="n">
        <v>-11151.58</v>
      </c>
      <c r="J60" s="62" t="n">
        <v>-11020.39</v>
      </c>
      <c r="K60" s="62" t="n">
        <v>-10550.28</v>
      </c>
      <c r="L60" s="62" t="n">
        <v>-9673.46</v>
      </c>
      <c r="M60" s="62" t="n">
        <v>-8322.16</v>
      </c>
      <c r="O60" s="60" t="n">
        <f aca="false">SUM(B60:M60)</f>
        <v>-101949.53</v>
      </c>
    </row>
    <row r="61" customFormat="false" ht="18" hidden="false" customHeight="true" outlineLevel="0" collapsed="false">
      <c r="A61" s="63" t="s">
        <v>200</v>
      </c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3" customFormat="false" ht="21.75" hidden="false" customHeight="true" outlineLevel="0" collapsed="false">
      <c r="A63" s="64" t="s">
        <v>163</v>
      </c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</row>
    <row r="64" customFormat="false" ht="18" hidden="false" customHeight="true" outlineLevel="0" collapsed="false">
      <c r="A64" s="65" t="s">
        <v>145</v>
      </c>
      <c r="B64" s="65" t="s">
        <v>146</v>
      </c>
      <c r="C64" s="65" t="s">
        <v>147</v>
      </c>
      <c r="D64" s="65" t="s">
        <v>148</v>
      </c>
      <c r="E64" s="65" t="s">
        <v>37</v>
      </c>
      <c r="F64" s="65" t="s">
        <v>149</v>
      </c>
      <c r="G64" s="65" t="s">
        <v>34</v>
      </c>
      <c r="H64" s="65" t="s">
        <v>36</v>
      </c>
      <c r="I64" s="65" t="s">
        <v>33</v>
      </c>
      <c r="J64" s="65" t="s">
        <v>35</v>
      </c>
      <c r="K64" s="65" t="s">
        <v>40</v>
      </c>
      <c r="L64" s="65" t="s">
        <v>150</v>
      </c>
      <c r="M64" s="65" t="s">
        <v>151</v>
      </c>
      <c r="N64" s="65" t="s">
        <v>152</v>
      </c>
    </row>
    <row r="65" customFormat="false" ht="15.75" hidden="false" customHeight="true" outlineLevel="0" collapsed="false">
      <c r="A65" s="41" t="s">
        <v>153</v>
      </c>
      <c r="B65" s="42" t="n">
        <v>4</v>
      </c>
      <c r="C65" s="42" t="n">
        <v>9</v>
      </c>
      <c r="D65" s="42" t="n">
        <v>14</v>
      </c>
      <c r="E65" s="42" t="n">
        <v>19</v>
      </c>
      <c r="F65" s="42" t="n">
        <v>24</v>
      </c>
      <c r="G65" s="42" t="n">
        <v>30</v>
      </c>
      <c r="H65" s="42" t="n">
        <v>36</v>
      </c>
      <c r="I65" s="42" t="n">
        <v>42</v>
      </c>
      <c r="J65" s="42" t="n">
        <v>48</v>
      </c>
      <c r="K65" s="42" t="n">
        <v>54</v>
      </c>
      <c r="L65" s="42" t="n">
        <v>61</v>
      </c>
      <c r="M65" s="42" t="n">
        <v>68</v>
      </c>
      <c r="O65" s="43" t="n">
        <f aca="false">SUM(B65:M65)</f>
        <v>409</v>
      </c>
    </row>
    <row r="66" customFormat="false" ht="15.75" hidden="false" customHeight="true" outlineLevel="0" collapsed="false">
      <c r="A66" s="15" t="s">
        <v>154</v>
      </c>
      <c r="B66" s="66" t="n">
        <v>4</v>
      </c>
      <c r="C66" s="66" t="n">
        <v>9</v>
      </c>
      <c r="D66" s="66" t="n">
        <v>14</v>
      </c>
      <c r="E66" s="66" t="n">
        <v>19</v>
      </c>
      <c r="F66" s="66" t="n">
        <v>25</v>
      </c>
      <c r="G66" s="66" t="n">
        <v>31</v>
      </c>
      <c r="H66" s="66" t="n">
        <v>38</v>
      </c>
      <c r="I66" s="66" t="n">
        <v>44</v>
      </c>
      <c r="J66" s="66" t="n">
        <v>51</v>
      </c>
      <c r="K66" s="66" t="n">
        <v>57</v>
      </c>
      <c r="L66" s="66" t="n">
        <v>64</v>
      </c>
      <c r="M66" s="66" t="n">
        <v>72</v>
      </c>
      <c r="O66" s="67" t="n">
        <f aca="false">SUM(B66:M66)</f>
        <v>428</v>
      </c>
    </row>
    <row r="67" customFormat="false" ht="15.75" hidden="false" customHeight="true" outlineLevel="0" collapsed="false">
      <c r="A67" s="31" t="s">
        <v>155</v>
      </c>
      <c r="B67" s="46" t="n">
        <v>276</v>
      </c>
      <c r="C67" s="46" t="n">
        <v>621</v>
      </c>
      <c r="D67" s="46" t="n">
        <v>966</v>
      </c>
      <c r="E67" s="46" t="n">
        <v>1311</v>
      </c>
      <c r="F67" s="46" t="n">
        <v>1725</v>
      </c>
      <c r="G67" s="46" t="n">
        <v>2139</v>
      </c>
      <c r="H67" s="46" t="n">
        <v>2622</v>
      </c>
      <c r="I67" s="46" t="n">
        <v>3036</v>
      </c>
      <c r="J67" s="46" t="n">
        <v>3519</v>
      </c>
      <c r="K67" s="46" t="n">
        <v>3933</v>
      </c>
      <c r="L67" s="46" t="n">
        <v>4416</v>
      </c>
      <c r="M67" s="46" t="n">
        <v>4968</v>
      </c>
      <c r="O67" s="47" t="n">
        <f aca="false">SUM(B67:M67)</f>
        <v>29532</v>
      </c>
    </row>
    <row r="68" customFormat="false" ht="15.75" hidden="false" customHeight="true" outlineLevel="0" collapsed="false">
      <c r="A68" s="31" t="s">
        <v>156</v>
      </c>
      <c r="B68" s="48" t="n">
        <v>4.86</v>
      </c>
      <c r="C68" s="48" t="n">
        <v>10.94</v>
      </c>
      <c r="D68" s="48" t="n">
        <v>17.02</v>
      </c>
      <c r="E68" s="48" t="n">
        <v>23.1</v>
      </c>
      <c r="F68" s="48" t="n">
        <v>30.4</v>
      </c>
      <c r="G68" s="48" t="n">
        <v>37.7</v>
      </c>
      <c r="H68" s="48" t="n">
        <v>46.21</v>
      </c>
      <c r="I68" s="48" t="n">
        <v>53.5</v>
      </c>
      <c r="J68" s="48" t="n">
        <v>62.02</v>
      </c>
      <c r="K68" s="48" t="n">
        <v>69.31</v>
      </c>
      <c r="L68" s="48" t="n">
        <v>77.82</v>
      </c>
      <c r="M68" s="48" t="n">
        <v>87.55</v>
      </c>
      <c r="O68" s="49" t="n">
        <f aca="false">SUM(B68:M68)</f>
        <v>520.43</v>
      </c>
    </row>
    <row r="69" customFormat="false" ht="15.75" hidden="false" customHeight="true" outlineLevel="0" collapsed="false">
      <c r="A69" s="11" t="s">
        <v>157</v>
      </c>
      <c r="B69" s="50" t="n">
        <v>271.14</v>
      </c>
      <c r="C69" s="50" t="n">
        <v>610.06</v>
      </c>
      <c r="D69" s="50" t="n">
        <v>948.98</v>
      </c>
      <c r="E69" s="50" t="n">
        <v>1287.9</v>
      </c>
      <c r="F69" s="50" t="n">
        <v>1694.6</v>
      </c>
      <c r="G69" s="50" t="n">
        <v>2101.3</v>
      </c>
      <c r="H69" s="50" t="n">
        <v>2575.79</v>
      </c>
      <c r="I69" s="50" t="n">
        <v>2982.5</v>
      </c>
      <c r="J69" s="50" t="n">
        <v>3456.98</v>
      </c>
      <c r="K69" s="50" t="n">
        <v>3863.69</v>
      </c>
      <c r="L69" s="50" t="n">
        <v>4338.18</v>
      </c>
      <c r="M69" s="50" t="n">
        <v>4880.45</v>
      </c>
      <c r="O69" s="68" t="n">
        <f aca="false">SUM(B69:M69)</f>
        <v>29011.57</v>
      </c>
    </row>
    <row r="70" customFormat="false" ht="15.75" hidden="false" customHeight="true" outlineLevel="0" collapsed="false">
      <c r="A70" s="52" t="s">
        <v>158</v>
      </c>
      <c r="B70" s="53" t="n">
        <v>500</v>
      </c>
      <c r="C70" s="53" t="n">
        <v>500</v>
      </c>
      <c r="D70" s="53" t="n">
        <v>500</v>
      </c>
      <c r="E70" s="53" t="n">
        <v>500</v>
      </c>
      <c r="F70" s="53" t="n">
        <v>500</v>
      </c>
      <c r="G70" s="53" t="n">
        <v>500</v>
      </c>
      <c r="H70" s="53" t="n">
        <v>500</v>
      </c>
      <c r="I70" s="53" t="n">
        <v>500</v>
      </c>
      <c r="J70" s="53" t="n">
        <v>500</v>
      </c>
      <c r="K70" s="53" t="n">
        <v>500</v>
      </c>
      <c r="L70" s="53" t="n">
        <v>500</v>
      </c>
      <c r="M70" s="53" t="n">
        <v>500</v>
      </c>
      <c r="O70" s="54" t="n">
        <f aca="false">SUM(B70:M70)</f>
        <v>6000</v>
      </c>
    </row>
    <row r="71" customFormat="false" ht="15.75" hidden="false" customHeight="true" outlineLevel="0" collapsed="false">
      <c r="A71" s="55" t="s">
        <v>159</v>
      </c>
      <c r="B71" s="56" t="n">
        <v>2444.6</v>
      </c>
      <c r="C71" s="56" t="n">
        <v>2444.6</v>
      </c>
      <c r="D71" s="56" t="n">
        <v>2444.6</v>
      </c>
      <c r="E71" s="56" t="n">
        <v>2444.6</v>
      </c>
      <c r="F71" s="56" t="n">
        <v>2444.6</v>
      </c>
      <c r="G71" s="56" t="n">
        <v>2444.6</v>
      </c>
      <c r="H71" s="56" t="n">
        <v>2444.6</v>
      </c>
      <c r="I71" s="56" t="n">
        <v>2444.6</v>
      </c>
      <c r="J71" s="56" t="n">
        <v>2444.6</v>
      </c>
      <c r="K71" s="56" t="n">
        <v>2444.6</v>
      </c>
      <c r="L71" s="56" t="n">
        <v>2444.6</v>
      </c>
      <c r="M71" s="56" t="n">
        <v>2444.6</v>
      </c>
      <c r="O71" s="57" t="n">
        <f aca="false">SUM(B71:M71)</f>
        <v>29335.2</v>
      </c>
    </row>
    <row r="72" customFormat="false" ht="15.75" hidden="false" customHeight="true" outlineLevel="0" collapsed="false">
      <c r="A72" s="5" t="s">
        <v>160</v>
      </c>
      <c r="B72" s="58" t="n">
        <v>-2673.46</v>
      </c>
      <c r="C72" s="58" t="n">
        <v>-2334.54</v>
      </c>
      <c r="D72" s="58" t="n">
        <v>-1995.62</v>
      </c>
      <c r="E72" s="58" t="n">
        <v>-1656.7</v>
      </c>
      <c r="F72" s="58" t="n">
        <v>-1250</v>
      </c>
      <c r="G72" s="58" t="n">
        <v>-843.3</v>
      </c>
      <c r="H72" s="58" t="n">
        <v>-368.81</v>
      </c>
      <c r="I72" s="59" t="n">
        <v>37.9</v>
      </c>
      <c r="J72" s="59" t="n">
        <v>512.38</v>
      </c>
      <c r="K72" s="59" t="n">
        <v>919.09</v>
      </c>
      <c r="L72" s="59" t="n">
        <v>1393.58</v>
      </c>
      <c r="M72" s="59" t="n">
        <v>1935.85</v>
      </c>
      <c r="O72" s="69" t="n">
        <f aca="false">SUM(B72:M72)</f>
        <v>-6323.63</v>
      </c>
    </row>
    <row r="73" customFormat="false" ht="15.75" hidden="false" customHeight="true" outlineLevel="0" collapsed="false">
      <c r="A73" s="61" t="s">
        <v>161</v>
      </c>
      <c r="B73" s="62" t="n">
        <v>-2673.46</v>
      </c>
      <c r="C73" s="62" t="n">
        <v>-5008.01</v>
      </c>
      <c r="D73" s="62" t="n">
        <v>-7003.63</v>
      </c>
      <c r="E73" s="62" t="n">
        <v>-8660.34</v>
      </c>
      <c r="F73" s="62" t="n">
        <v>-9910.34</v>
      </c>
      <c r="G73" s="62" t="n">
        <v>-10753.63</v>
      </c>
      <c r="H73" s="62" t="n">
        <v>-11122.44</v>
      </c>
      <c r="I73" s="62" t="n">
        <v>-11084.54</v>
      </c>
      <c r="J73" s="62" t="n">
        <v>-10572.16</v>
      </c>
      <c r="K73" s="62" t="n">
        <v>-9653.07</v>
      </c>
      <c r="L73" s="62" t="n">
        <v>-8259.5</v>
      </c>
      <c r="M73" s="62" t="n">
        <v>-6323.65</v>
      </c>
      <c r="O73" s="69" t="n">
        <f aca="false">SUM(B73:M73)</f>
        <v>-101024.77</v>
      </c>
    </row>
    <row r="74" customFormat="false" ht="18" hidden="false" customHeight="true" outlineLevel="0" collapsed="false">
      <c r="A74" s="63" t="s">
        <v>201</v>
      </c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</row>
    <row r="76" customFormat="false" ht="21.75" hidden="false" customHeight="true" outlineLevel="0" collapsed="false">
      <c r="A76" s="71" t="s">
        <v>165</v>
      </c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</row>
    <row r="77" customFormat="false" ht="18" hidden="false" customHeight="true" outlineLevel="0" collapsed="false">
      <c r="A77" s="72" t="s">
        <v>145</v>
      </c>
      <c r="B77" s="72" t="s">
        <v>146</v>
      </c>
      <c r="C77" s="72" t="s">
        <v>147</v>
      </c>
      <c r="D77" s="72" t="s">
        <v>148</v>
      </c>
      <c r="E77" s="72" t="s">
        <v>37</v>
      </c>
      <c r="F77" s="72" t="s">
        <v>149</v>
      </c>
      <c r="G77" s="72" t="s">
        <v>34</v>
      </c>
      <c r="H77" s="72" t="s">
        <v>36</v>
      </c>
      <c r="I77" s="72" t="s">
        <v>33</v>
      </c>
      <c r="J77" s="72" t="s">
        <v>35</v>
      </c>
      <c r="K77" s="72" t="s">
        <v>40</v>
      </c>
      <c r="L77" s="72" t="s">
        <v>150</v>
      </c>
      <c r="M77" s="72" t="s">
        <v>151</v>
      </c>
      <c r="N77" s="72" t="s">
        <v>152</v>
      </c>
    </row>
    <row r="78" customFormat="false" ht="15.75" hidden="false" customHeight="true" outlineLevel="0" collapsed="false">
      <c r="A78" s="41" t="s">
        <v>153</v>
      </c>
      <c r="B78" s="42" t="n">
        <v>6</v>
      </c>
      <c r="C78" s="42" t="n">
        <v>13</v>
      </c>
      <c r="D78" s="42" t="n">
        <v>20</v>
      </c>
      <c r="E78" s="42" t="n">
        <v>27</v>
      </c>
      <c r="F78" s="42" t="n">
        <v>35</v>
      </c>
      <c r="G78" s="42" t="n">
        <v>42</v>
      </c>
      <c r="H78" s="42" t="n">
        <v>49</v>
      </c>
      <c r="I78" s="42" t="n">
        <v>57</v>
      </c>
      <c r="J78" s="42" t="n">
        <v>64</v>
      </c>
      <c r="K78" s="42" t="n">
        <v>71</v>
      </c>
      <c r="L78" s="42" t="n">
        <v>78</v>
      </c>
      <c r="M78" s="42" t="n">
        <v>87</v>
      </c>
      <c r="O78" s="43" t="n">
        <f aca="false">SUM(B78:M78)</f>
        <v>549</v>
      </c>
    </row>
    <row r="79" customFormat="false" ht="15.75" hidden="false" customHeight="true" outlineLevel="0" collapsed="false">
      <c r="A79" s="11" t="s">
        <v>154</v>
      </c>
      <c r="B79" s="73" t="n">
        <v>6</v>
      </c>
      <c r="C79" s="73" t="n">
        <v>13</v>
      </c>
      <c r="D79" s="73" t="n">
        <v>20</v>
      </c>
      <c r="E79" s="73" t="n">
        <v>28</v>
      </c>
      <c r="F79" s="73" t="n">
        <v>36</v>
      </c>
      <c r="G79" s="73" t="n">
        <v>44</v>
      </c>
      <c r="H79" s="73" t="n">
        <v>52</v>
      </c>
      <c r="I79" s="73" t="n">
        <v>60</v>
      </c>
      <c r="J79" s="73" t="n">
        <v>68</v>
      </c>
      <c r="K79" s="73" t="n">
        <v>75</v>
      </c>
      <c r="L79" s="73" t="n">
        <v>83</v>
      </c>
      <c r="M79" s="73" t="n">
        <v>92</v>
      </c>
      <c r="O79" s="74" t="n">
        <f aca="false">SUM(B79:M79)</f>
        <v>577</v>
      </c>
    </row>
    <row r="80" customFormat="false" ht="15.75" hidden="false" customHeight="true" outlineLevel="0" collapsed="false">
      <c r="A80" s="31" t="s">
        <v>155</v>
      </c>
      <c r="B80" s="46" t="n">
        <v>414</v>
      </c>
      <c r="C80" s="46" t="n">
        <v>897</v>
      </c>
      <c r="D80" s="46" t="n">
        <v>1380</v>
      </c>
      <c r="E80" s="46" t="n">
        <v>1932</v>
      </c>
      <c r="F80" s="46" t="n">
        <v>2484</v>
      </c>
      <c r="G80" s="46" t="n">
        <v>3036</v>
      </c>
      <c r="H80" s="46" t="n">
        <v>3588</v>
      </c>
      <c r="I80" s="46" t="n">
        <v>4140</v>
      </c>
      <c r="J80" s="46" t="n">
        <v>4692</v>
      </c>
      <c r="K80" s="46" t="n">
        <v>5175</v>
      </c>
      <c r="L80" s="46" t="n">
        <v>5727</v>
      </c>
      <c r="M80" s="46" t="n">
        <v>6348</v>
      </c>
      <c r="O80" s="47" t="n">
        <f aca="false">SUM(B80:M80)</f>
        <v>39813</v>
      </c>
    </row>
    <row r="81" customFormat="false" ht="15.75" hidden="false" customHeight="true" outlineLevel="0" collapsed="false">
      <c r="A81" s="31" t="s">
        <v>156</v>
      </c>
      <c r="B81" s="48" t="n">
        <v>7.3</v>
      </c>
      <c r="C81" s="48" t="n">
        <v>15.81</v>
      </c>
      <c r="D81" s="48" t="n">
        <v>24.32</v>
      </c>
      <c r="E81" s="48" t="n">
        <v>34.05</v>
      </c>
      <c r="F81" s="48" t="n">
        <v>43.78</v>
      </c>
      <c r="G81" s="48" t="n">
        <v>53.5</v>
      </c>
      <c r="H81" s="48" t="n">
        <v>63.23</v>
      </c>
      <c r="I81" s="48" t="n">
        <v>72.96</v>
      </c>
      <c r="J81" s="48" t="n">
        <v>82.69</v>
      </c>
      <c r="K81" s="48" t="n">
        <v>91.2</v>
      </c>
      <c r="L81" s="48" t="n">
        <v>100.93</v>
      </c>
      <c r="M81" s="48" t="n">
        <v>111.87</v>
      </c>
      <c r="O81" s="49" t="n">
        <f aca="false">SUM(B81:M81)</f>
        <v>701.64</v>
      </c>
    </row>
    <row r="82" customFormat="false" ht="15.75" hidden="false" customHeight="true" outlineLevel="0" collapsed="false">
      <c r="A82" s="11" t="s">
        <v>157</v>
      </c>
      <c r="B82" s="50" t="n">
        <v>406.7</v>
      </c>
      <c r="C82" s="50" t="n">
        <v>881.19</v>
      </c>
      <c r="D82" s="50" t="n">
        <v>1355.68</v>
      </c>
      <c r="E82" s="50" t="n">
        <v>1897.95</v>
      </c>
      <c r="F82" s="50" t="n">
        <v>2440.22</v>
      </c>
      <c r="G82" s="50" t="n">
        <v>2982.5</v>
      </c>
      <c r="H82" s="50" t="n">
        <v>3524.77</v>
      </c>
      <c r="I82" s="50" t="n">
        <v>4067.04</v>
      </c>
      <c r="J82" s="50" t="n">
        <v>4609.31</v>
      </c>
      <c r="K82" s="50" t="n">
        <v>5083.8</v>
      </c>
      <c r="L82" s="50" t="n">
        <v>5626.07</v>
      </c>
      <c r="M82" s="50" t="n">
        <v>6236.13</v>
      </c>
      <c r="O82" s="75" t="n">
        <f aca="false">SUM(B82:M82)</f>
        <v>39111.36</v>
      </c>
    </row>
    <row r="83" customFormat="false" ht="15.75" hidden="false" customHeight="true" outlineLevel="0" collapsed="false">
      <c r="A83" s="52" t="s">
        <v>158</v>
      </c>
      <c r="B83" s="53" t="n">
        <v>1000</v>
      </c>
      <c r="C83" s="53" t="n">
        <v>1000</v>
      </c>
      <c r="D83" s="53" t="n">
        <v>1000</v>
      </c>
      <c r="E83" s="53" t="n">
        <v>1000</v>
      </c>
      <c r="F83" s="53" t="n">
        <v>1000</v>
      </c>
      <c r="G83" s="53" t="n">
        <v>1000</v>
      </c>
      <c r="H83" s="53" t="n">
        <v>1000</v>
      </c>
      <c r="I83" s="53" t="n">
        <v>1000</v>
      </c>
      <c r="J83" s="53" t="n">
        <v>1000</v>
      </c>
      <c r="K83" s="53" t="n">
        <v>1000</v>
      </c>
      <c r="L83" s="53" t="n">
        <v>1000</v>
      </c>
      <c r="M83" s="53" t="n">
        <v>1000</v>
      </c>
      <c r="O83" s="54" t="n">
        <f aca="false">SUM(B83:M83)</f>
        <v>12000</v>
      </c>
    </row>
    <row r="84" customFormat="false" ht="15.75" hidden="false" customHeight="true" outlineLevel="0" collapsed="false">
      <c r="A84" s="55" t="s">
        <v>159</v>
      </c>
      <c r="B84" s="56" t="n">
        <v>2444.6</v>
      </c>
      <c r="C84" s="56" t="n">
        <v>2444.6</v>
      </c>
      <c r="D84" s="56" t="n">
        <v>2444.6</v>
      </c>
      <c r="E84" s="56" t="n">
        <v>2444.6</v>
      </c>
      <c r="F84" s="56" t="n">
        <v>2444.6</v>
      </c>
      <c r="G84" s="56" t="n">
        <v>2444.6</v>
      </c>
      <c r="H84" s="56" t="n">
        <v>2444.6</v>
      </c>
      <c r="I84" s="56" t="n">
        <v>2444.6</v>
      </c>
      <c r="J84" s="56" t="n">
        <v>2444.6</v>
      </c>
      <c r="K84" s="56" t="n">
        <v>2444.6</v>
      </c>
      <c r="L84" s="56" t="n">
        <v>2444.6</v>
      </c>
      <c r="M84" s="56" t="n">
        <v>2444.6</v>
      </c>
      <c r="O84" s="57" t="n">
        <f aca="false">SUM(B84:M84)</f>
        <v>29335.2</v>
      </c>
    </row>
    <row r="85" customFormat="false" ht="15.75" hidden="false" customHeight="true" outlineLevel="0" collapsed="false">
      <c r="A85" s="5" t="s">
        <v>160</v>
      </c>
      <c r="B85" s="58" t="n">
        <v>-3037.9</v>
      </c>
      <c r="C85" s="58" t="n">
        <v>-2563.41</v>
      </c>
      <c r="D85" s="58" t="n">
        <v>-2088.92</v>
      </c>
      <c r="E85" s="58" t="n">
        <v>-1546.65</v>
      </c>
      <c r="F85" s="58" t="n">
        <v>-1004.38</v>
      </c>
      <c r="G85" s="58" t="n">
        <v>-462.1</v>
      </c>
      <c r="H85" s="59" t="n">
        <v>80.17</v>
      </c>
      <c r="I85" s="59" t="n">
        <v>622.44</v>
      </c>
      <c r="J85" s="59" t="n">
        <v>1164.71</v>
      </c>
      <c r="K85" s="59" t="n">
        <v>1639.2</v>
      </c>
      <c r="L85" s="59" t="n">
        <v>2181.47</v>
      </c>
      <c r="M85" s="59" t="n">
        <v>2791.53</v>
      </c>
      <c r="O85" s="76" t="n">
        <f aca="false">SUM(B85:M85)</f>
        <v>-2223.84</v>
      </c>
    </row>
    <row r="86" customFormat="false" ht="15.75" hidden="false" customHeight="true" outlineLevel="0" collapsed="false">
      <c r="A86" s="61" t="s">
        <v>161</v>
      </c>
      <c r="B86" s="62" t="n">
        <v>-3037.9</v>
      </c>
      <c r="C86" s="62" t="n">
        <v>-5601.3</v>
      </c>
      <c r="D86" s="62" t="n">
        <v>-7690.22</v>
      </c>
      <c r="E86" s="62" t="n">
        <v>-9236.87</v>
      </c>
      <c r="F86" s="62" t="n">
        <v>-10241.25</v>
      </c>
      <c r="G86" s="62" t="n">
        <v>-10703.35</v>
      </c>
      <c r="H86" s="62" t="n">
        <v>-10623.18</v>
      </c>
      <c r="I86" s="62" t="n">
        <v>-10000.74</v>
      </c>
      <c r="J86" s="62" t="n">
        <v>-8836.03</v>
      </c>
      <c r="K86" s="62" t="n">
        <v>-7196.83</v>
      </c>
      <c r="L86" s="62" t="n">
        <v>-5015.36</v>
      </c>
      <c r="M86" s="62" t="n">
        <v>-2223.83</v>
      </c>
      <c r="O86" s="76" t="n">
        <f aca="false">SUM(B86:M86)</f>
        <v>-90406.86</v>
      </c>
    </row>
    <row r="87" customFormat="false" ht="18" hidden="false" customHeight="true" outlineLevel="0" collapsed="false">
      <c r="A87" s="63" t="s">
        <v>202</v>
      </c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  <row r="89" customFormat="false" ht="19.5" hidden="false" customHeight="true" outlineLevel="0" collapsed="false">
      <c r="A89" s="19" t="s">
        <v>167</v>
      </c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</row>
    <row r="90" customFormat="false" ht="18" hidden="false" customHeight="true" outlineLevel="0" collapsed="false">
      <c r="A90" s="4" t="s">
        <v>168</v>
      </c>
      <c r="B90" s="4" t="s">
        <v>65</v>
      </c>
      <c r="C90" s="30" t="s">
        <v>169</v>
      </c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</row>
    <row r="91" customFormat="false" ht="15.75" hidden="false" customHeight="true" outlineLevel="0" collapsed="false">
      <c r="A91" s="5" t="s">
        <v>9</v>
      </c>
      <c r="B91" s="77" t="s">
        <v>194</v>
      </c>
      <c r="C91" s="34" t="s">
        <v>203</v>
      </c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</row>
    <row r="92" customFormat="false" ht="15.75" hidden="false" customHeight="true" outlineLevel="0" collapsed="false">
      <c r="A92" s="5" t="s">
        <v>89</v>
      </c>
      <c r="B92" s="77" t="s">
        <v>196</v>
      </c>
      <c r="C92" s="34" t="s">
        <v>171</v>
      </c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</row>
    <row r="93" customFormat="false" ht="15.75" hidden="false" customHeight="true" outlineLevel="0" collapsed="false">
      <c r="A93" s="11" t="s">
        <v>41</v>
      </c>
      <c r="B93" s="78" t="s">
        <v>43</v>
      </c>
      <c r="C93" s="34" t="s">
        <v>204</v>
      </c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</row>
    <row r="94" customFormat="false" ht="15.75" hidden="false" customHeight="true" outlineLevel="0" collapsed="false">
      <c r="A94" s="5" t="s">
        <v>173</v>
      </c>
      <c r="B94" s="77" t="s">
        <v>174</v>
      </c>
      <c r="C94" s="34" t="s">
        <v>175</v>
      </c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</row>
    <row r="95" customFormat="false" ht="15.75" hidden="false" customHeight="true" outlineLevel="0" collapsed="false">
      <c r="A95" s="15" t="s">
        <v>176</v>
      </c>
      <c r="B95" s="80" t="s">
        <v>205</v>
      </c>
      <c r="C95" s="34" t="s">
        <v>178</v>
      </c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</row>
    <row r="96" customFormat="false" ht="15.75" hidden="false" customHeight="true" outlineLevel="0" collapsed="false">
      <c r="A96" s="11" t="s">
        <v>179</v>
      </c>
      <c r="B96" s="78" t="s">
        <v>206</v>
      </c>
      <c r="C96" s="34" t="s">
        <v>181</v>
      </c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</row>
    <row r="97" customFormat="false" ht="15.75" hidden="false" customHeight="true" outlineLevel="0" collapsed="false">
      <c r="A97" s="10" t="s">
        <v>102</v>
      </c>
      <c r="B97" s="79" t="s">
        <v>207</v>
      </c>
      <c r="C97" s="34" t="s">
        <v>208</v>
      </c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</row>
    <row r="98" customFormat="false" ht="15.75" hidden="false" customHeight="true" outlineLevel="0" collapsed="false">
      <c r="A98" s="5" t="s">
        <v>184</v>
      </c>
      <c r="B98" s="77" t="s">
        <v>209</v>
      </c>
      <c r="C98" s="34" t="s">
        <v>186</v>
      </c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</row>
    <row r="99" customFormat="false" ht="15.75" hidden="false" customHeight="true" outlineLevel="0" collapsed="false">
      <c r="A99" s="11" t="s">
        <v>187</v>
      </c>
      <c r="B99" s="78" t="s">
        <v>188</v>
      </c>
      <c r="C99" s="34" t="s">
        <v>189</v>
      </c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</row>
  </sheetData>
  <mergeCells count="60">
    <mergeCell ref="A1:O1"/>
    <mergeCell ref="A2:O2"/>
    <mergeCell ref="A4:O4"/>
    <mergeCell ref="D5:O5"/>
    <mergeCell ref="D6:O6"/>
    <mergeCell ref="D7:O7"/>
    <mergeCell ref="D8:O8"/>
    <mergeCell ref="D9:O9"/>
    <mergeCell ref="D10:O10"/>
    <mergeCell ref="D11:O11"/>
    <mergeCell ref="D12:O12"/>
    <mergeCell ref="D13:O13"/>
    <mergeCell ref="D14:O14"/>
    <mergeCell ref="D15:O15"/>
    <mergeCell ref="D16:O16"/>
    <mergeCell ref="D17:O17"/>
    <mergeCell ref="D18:O18"/>
    <mergeCell ref="D19:O19"/>
    <mergeCell ref="D20:O20"/>
    <mergeCell ref="A22:O22"/>
    <mergeCell ref="E23:O23"/>
    <mergeCell ref="E24:O24"/>
    <mergeCell ref="E25:O25"/>
    <mergeCell ref="E26:O26"/>
    <mergeCell ref="E27:O27"/>
    <mergeCell ref="E28:O28"/>
    <mergeCell ref="E29:O29"/>
    <mergeCell ref="E30:O30"/>
    <mergeCell ref="E31:O31"/>
    <mergeCell ref="E32:O32"/>
    <mergeCell ref="E33:O33"/>
    <mergeCell ref="E34:O34"/>
    <mergeCell ref="E35:O35"/>
    <mergeCell ref="A38:O38"/>
    <mergeCell ref="D39:O39"/>
    <mergeCell ref="C40:O40"/>
    <mergeCell ref="C41:O41"/>
    <mergeCell ref="C42:O42"/>
    <mergeCell ref="C43:O43"/>
    <mergeCell ref="C44:O44"/>
    <mergeCell ref="C45:O45"/>
    <mergeCell ref="C46:O46"/>
    <mergeCell ref="C47:O47"/>
    <mergeCell ref="A50:O50"/>
    <mergeCell ref="A61:O61"/>
    <mergeCell ref="A63:O63"/>
    <mergeCell ref="A74:O74"/>
    <mergeCell ref="A76:O76"/>
    <mergeCell ref="A87:O87"/>
    <mergeCell ref="A89:O89"/>
    <mergeCell ref="C90:O90"/>
    <mergeCell ref="C91:O91"/>
    <mergeCell ref="C92:O92"/>
    <mergeCell ref="C93:O93"/>
    <mergeCell ref="C94:O94"/>
    <mergeCell ref="C95:O95"/>
    <mergeCell ref="C96:O96"/>
    <mergeCell ref="C97:O97"/>
    <mergeCell ref="C98:O98"/>
    <mergeCell ref="C99:O9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5" min="2" style="0" width="11"/>
  </cols>
  <sheetData>
    <row r="1" customFormat="false" ht="25.5" hidden="false" customHeight="true" outlineLevel="0" collapsed="false">
      <c r="A1" s="1" t="s">
        <v>210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2" t="s">
        <v>211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9.5" hidden="false" customHeight="true" outlineLevel="0" collapsed="false">
      <c r="A4" s="19" t="s">
        <v>63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5" customFormat="false" ht="18" hidden="false" customHeight="true" outlineLevel="0" collapsed="false">
      <c r="A5" s="4" t="s">
        <v>64</v>
      </c>
      <c r="B5" s="4" t="s">
        <v>65</v>
      </c>
      <c r="C5" s="4" t="s">
        <v>66</v>
      </c>
      <c r="D5" s="30" t="s">
        <v>67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</row>
    <row r="6" customFormat="false" ht="15" hidden="false" customHeight="true" outlineLevel="0" collapsed="false">
      <c r="A6" s="31" t="s">
        <v>68</v>
      </c>
      <c r="B6" s="32" t="s">
        <v>69</v>
      </c>
      <c r="C6" s="33" t="s">
        <v>70</v>
      </c>
      <c r="D6" s="34" t="s">
        <v>71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</row>
    <row r="7" customFormat="false" ht="15" hidden="false" customHeight="true" outlineLevel="0" collapsed="false">
      <c r="A7" s="31" t="s">
        <v>72</v>
      </c>
      <c r="B7" s="32" t="s">
        <v>73</v>
      </c>
      <c r="C7" s="33" t="s">
        <v>70</v>
      </c>
      <c r="D7" s="34" t="s">
        <v>71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customFormat="false" ht="15" hidden="false" customHeight="true" outlineLevel="0" collapsed="false">
      <c r="A8" s="31" t="s">
        <v>74</v>
      </c>
      <c r="B8" s="32" t="s">
        <v>75</v>
      </c>
      <c r="C8" s="33" t="s">
        <v>70</v>
      </c>
      <c r="D8" s="34" t="s">
        <v>71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</row>
    <row r="9" customFormat="false" ht="15" hidden="false" customHeight="true" outlineLevel="0" collapsed="false">
      <c r="A9" s="31" t="s">
        <v>76</v>
      </c>
      <c r="B9" s="32" t="s">
        <v>193</v>
      </c>
      <c r="C9" s="33" t="s">
        <v>70</v>
      </c>
      <c r="D9" s="34" t="s">
        <v>78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</row>
    <row r="10" customFormat="false" ht="15" hidden="false" customHeight="true" outlineLevel="0" collapsed="false">
      <c r="A10" s="31" t="s">
        <v>79</v>
      </c>
      <c r="B10" s="32" t="s">
        <v>77</v>
      </c>
      <c r="C10" s="33" t="s">
        <v>70</v>
      </c>
      <c r="D10" s="34" t="s">
        <v>78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</row>
    <row r="11" customFormat="false" ht="15" hidden="false" customHeight="true" outlineLevel="0" collapsed="false">
      <c r="A11" s="31" t="s">
        <v>81</v>
      </c>
      <c r="B11" s="32" t="s">
        <v>193</v>
      </c>
      <c r="C11" s="33" t="s">
        <v>70</v>
      </c>
      <c r="D11" s="34" t="s">
        <v>78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customFormat="false" ht="15" hidden="false" customHeight="true" outlineLevel="0" collapsed="false">
      <c r="A12" s="31" t="s">
        <v>9</v>
      </c>
      <c r="B12" s="32" t="s">
        <v>212</v>
      </c>
      <c r="C12" s="33" t="s">
        <v>84</v>
      </c>
      <c r="D12" s="34" t="s">
        <v>213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</row>
    <row r="13" customFormat="false" ht="15" hidden="false" customHeight="true" outlineLevel="0" collapsed="false">
      <c r="A13" s="31" t="s">
        <v>86</v>
      </c>
      <c r="B13" s="32" t="s">
        <v>87</v>
      </c>
      <c r="C13" s="33" t="s">
        <v>70</v>
      </c>
      <c r="D13" s="34" t="s">
        <v>88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</row>
    <row r="14" customFormat="false" ht="15" hidden="false" customHeight="true" outlineLevel="0" collapsed="false">
      <c r="A14" s="31" t="s">
        <v>89</v>
      </c>
      <c r="B14" s="32" t="s">
        <v>214</v>
      </c>
      <c r="C14" s="33" t="s">
        <v>84</v>
      </c>
      <c r="D14" s="34" t="s">
        <v>91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</row>
    <row r="15" customFormat="false" ht="15" hidden="false" customHeight="true" outlineLevel="0" collapsed="false">
      <c r="A15" s="31" t="s">
        <v>92</v>
      </c>
      <c r="B15" s="32" t="s">
        <v>93</v>
      </c>
      <c r="C15" s="33" t="s">
        <v>70</v>
      </c>
      <c r="D15" s="34" t="s">
        <v>94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</row>
    <row r="16" customFormat="false" ht="15" hidden="false" customHeight="true" outlineLevel="0" collapsed="false">
      <c r="A16" s="31" t="s">
        <v>95</v>
      </c>
      <c r="B16" s="32" t="s">
        <v>96</v>
      </c>
      <c r="C16" s="33" t="s">
        <v>70</v>
      </c>
      <c r="D16" s="34" t="s">
        <v>97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</row>
    <row r="17" customFormat="false" ht="15" hidden="false" customHeight="true" outlineLevel="0" collapsed="false">
      <c r="A17" s="31" t="s">
        <v>98</v>
      </c>
      <c r="B17" s="32" t="s">
        <v>99</v>
      </c>
      <c r="C17" s="33" t="s">
        <v>84</v>
      </c>
      <c r="D17" s="34" t="s">
        <v>100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</row>
    <row r="18" customFormat="false" ht="15" hidden="false" customHeight="true" outlineLevel="0" collapsed="false">
      <c r="A18" s="31" t="s">
        <v>41</v>
      </c>
      <c r="B18" s="32" t="s">
        <v>44</v>
      </c>
      <c r="C18" s="33" t="s">
        <v>84</v>
      </c>
      <c r="D18" s="34" t="s">
        <v>215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</row>
    <row r="19" customFormat="false" ht="15" hidden="false" customHeight="true" outlineLevel="0" collapsed="false">
      <c r="A19" s="31" t="s">
        <v>102</v>
      </c>
      <c r="B19" s="32" t="s">
        <v>216</v>
      </c>
      <c r="C19" s="33" t="s">
        <v>84</v>
      </c>
      <c r="D19" s="34" t="s">
        <v>217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</row>
    <row r="20" customFormat="false" ht="15" hidden="false" customHeight="true" outlineLevel="0" collapsed="false">
      <c r="A20" s="31" t="s">
        <v>105</v>
      </c>
      <c r="B20" s="32" t="s">
        <v>106</v>
      </c>
      <c r="C20" s="33" t="s">
        <v>70</v>
      </c>
      <c r="D20" s="34" t="s">
        <v>107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</row>
    <row r="22" customFormat="false" ht="19.5" hidden="false" customHeight="true" outlineLevel="0" collapsed="false">
      <c r="A22" s="19" t="s">
        <v>108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customFormat="false" ht="18" hidden="false" customHeight="true" outlineLevel="0" collapsed="false">
      <c r="A23" s="4" t="s">
        <v>109</v>
      </c>
      <c r="B23" s="4" t="s">
        <v>110</v>
      </c>
      <c r="C23" s="4" t="s">
        <v>111</v>
      </c>
      <c r="D23" s="4" t="s">
        <v>66</v>
      </c>
      <c r="E23" s="30" t="s">
        <v>112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</row>
    <row r="24" customFormat="false" ht="15" hidden="false" customHeight="true" outlineLevel="0" collapsed="false">
      <c r="A24" s="31" t="s">
        <v>113</v>
      </c>
      <c r="B24" s="35" t="n">
        <v>25</v>
      </c>
      <c r="C24" s="36" t="n">
        <f aca="false">B24*12</f>
        <v>300</v>
      </c>
      <c r="D24" s="33" t="s">
        <v>114</v>
      </c>
      <c r="E24" s="34" t="s">
        <v>70</v>
      </c>
      <c r="F24" s="34"/>
      <c r="G24" s="34"/>
      <c r="H24" s="34"/>
      <c r="I24" s="34"/>
      <c r="J24" s="34"/>
      <c r="K24" s="34"/>
      <c r="L24" s="34"/>
      <c r="M24" s="34"/>
      <c r="N24" s="34"/>
      <c r="O24" s="34"/>
    </row>
    <row r="25" customFormat="false" ht="15" hidden="false" customHeight="true" outlineLevel="0" collapsed="false">
      <c r="A25" s="31" t="s">
        <v>115</v>
      </c>
      <c r="B25" s="35" t="n">
        <v>4.6</v>
      </c>
      <c r="C25" s="36" t="n">
        <f aca="false">B25*12</f>
        <v>55.2</v>
      </c>
      <c r="D25" s="33" t="s">
        <v>114</v>
      </c>
      <c r="E25" s="34" t="s">
        <v>70</v>
      </c>
      <c r="F25" s="34"/>
      <c r="G25" s="34"/>
      <c r="H25" s="34"/>
      <c r="I25" s="34"/>
      <c r="J25" s="34"/>
      <c r="K25" s="34"/>
      <c r="L25" s="34"/>
      <c r="M25" s="34"/>
      <c r="N25" s="34"/>
      <c r="O25" s="34"/>
    </row>
    <row r="26" customFormat="false" ht="15" hidden="false" customHeight="true" outlineLevel="0" collapsed="false">
      <c r="A26" s="31" t="s">
        <v>116</v>
      </c>
      <c r="B26" s="35" t="n">
        <v>25</v>
      </c>
      <c r="C26" s="36" t="n">
        <f aca="false">B26*12</f>
        <v>300</v>
      </c>
      <c r="D26" s="33" t="s">
        <v>114</v>
      </c>
      <c r="E26" s="34" t="s">
        <v>70</v>
      </c>
      <c r="F26" s="34"/>
      <c r="G26" s="34"/>
      <c r="H26" s="34"/>
      <c r="I26" s="34"/>
      <c r="J26" s="34"/>
      <c r="K26" s="34"/>
      <c r="L26" s="34"/>
      <c r="M26" s="34"/>
      <c r="N26" s="34"/>
      <c r="O26" s="34"/>
    </row>
    <row r="27" customFormat="false" ht="15" hidden="false" customHeight="true" outlineLevel="0" collapsed="false">
      <c r="A27" s="31" t="s">
        <v>117</v>
      </c>
      <c r="B27" s="35" t="n">
        <v>5</v>
      </c>
      <c r="C27" s="36" t="n">
        <f aca="false">B27*12</f>
        <v>60</v>
      </c>
      <c r="D27" s="33" t="s">
        <v>114</v>
      </c>
      <c r="E27" s="34" t="s">
        <v>70</v>
      </c>
      <c r="F27" s="34"/>
      <c r="G27" s="34"/>
      <c r="H27" s="34"/>
      <c r="I27" s="34"/>
      <c r="J27" s="34"/>
      <c r="K27" s="34"/>
      <c r="L27" s="34"/>
      <c r="M27" s="34"/>
      <c r="N27" s="34"/>
      <c r="O27" s="34"/>
    </row>
    <row r="28" customFormat="false" ht="15" hidden="false" customHeight="true" outlineLevel="0" collapsed="false">
      <c r="A28" s="31" t="s">
        <v>118</v>
      </c>
      <c r="B28" s="35" t="n">
        <v>50</v>
      </c>
      <c r="C28" s="36" t="n">
        <f aca="false">B28*12</f>
        <v>600</v>
      </c>
      <c r="D28" s="33" t="s">
        <v>114</v>
      </c>
      <c r="E28" s="34" t="s">
        <v>119</v>
      </c>
      <c r="F28" s="34"/>
      <c r="G28" s="34"/>
      <c r="H28" s="34"/>
      <c r="I28" s="34"/>
      <c r="J28" s="34"/>
      <c r="K28" s="34"/>
      <c r="L28" s="34"/>
      <c r="M28" s="34"/>
      <c r="N28" s="34"/>
      <c r="O28" s="34"/>
    </row>
    <row r="29" customFormat="false" ht="15" hidden="false" customHeight="true" outlineLevel="0" collapsed="false">
      <c r="A29" s="31" t="s">
        <v>120</v>
      </c>
      <c r="B29" s="35" t="n">
        <v>50</v>
      </c>
      <c r="C29" s="36" t="n">
        <f aca="false">B29*12</f>
        <v>600</v>
      </c>
      <c r="D29" s="33" t="s">
        <v>114</v>
      </c>
      <c r="E29" s="34" t="s">
        <v>119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</row>
    <row r="30" customFormat="false" ht="15" hidden="false" customHeight="true" outlineLevel="0" collapsed="false">
      <c r="A30" s="31" t="s">
        <v>121</v>
      </c>
      <c r="B30" s="35" t="n">
        <v>75</v>
      </c>
      <c r="C30" s="36" t="n">
        <f aca="false">B30*12</f>
        <v>900</v>
      </c>
      <c r="D30" s="33" t="s">
        <v>114</v>
      </c>
      <c r="E30" s="34" t="s">
        <v>119</v>
      </c>
      <c r="F30" s="34"/>
      <c r="G30" s="34"/>
      <c r="H30" s="34"/>
      <c r="I30" s="34"/>
      <c r="J30" s="34"/>
      <c r="K30" s="34"/>
      <c r="L30" s="34"/>
      <c r="M30" s="34"/>
      <c r="N30" s="34"/>
      <c r="O30" s="34"/>
    </row>
    <row r="31" customFormat="false" ht="15" hidden="false" customHeight="true" outlineLevel="0" collapsed="false">
      <c r="A31" s="31" t="s">
        <v>122</v>
      </c>
      <c r="B31" s="35" t="n">
        <v>200</v>
      </c>
      <c r="C31" s="36" t="n">
        <f aca="false">B31*12</f>
        <v>2400</v>
      </c>
      <c r="D31" s="33" t="s">
        <v>114</v>
      </c>
      <c r="E31" s="34" t="s">
        <v>123</v>
      </c>
      <c r="F31" s="34"/>
      <c r="G31" s="34"/>
      <c r="H31" s="34"/>
      <c r="I31" s="34"/>
      <c r="J31" s="34"/>
      <c r="K31" s="34"/>
      <c r="L31" s="34"/>
      <c r="M31" s="34"/>
      <c r="N31" s="34"/>
      <c r="O31" s="34"/>
    </row>
    <row r="32" customFormat="false" ht="15" hidden="false" customHeight="true" outlineLevel="0" collapsed="false">
      <c r="A32" s="31" t="s">
        <v>124</v>
      </c>
      <c r="B32" s="35" t="n">
        <v>10</v>
      </c>
      <c r="C32" s="36" t="n">
        <f aca="false">B32*12</f>
        <v>120</v>
      </c>
      <c r="D32" s="33" t="s">
        <v>114</v>
      </c>
      <c r="E32" s="34" t="s">
        <v>123</v>
      </c>
      <c r="F32" s="34"/>
      <c r="G32" s="34"/>
      <c r="H32" s="34"/>
      <c r="I32" s="34"/>
      <c r="J32" s="34"/>
      <c r="K32" s="34"/>
      <c r="L32" s="34"/>
      <c r="M32" s="34"/>
      <c r="N32" s="34"/>
      <c r="O32" s="34"/>
    </row>
    <row r="33" customFormat="false" ht="15" hidden="false" customHeight="true" outlineLevel="0" collapsed="false">
      <c r="A33" s="31" t="s">
        <v>125</v>
      </c>
      <c r="B33" s="35" t="n">
        <v>800</v>
      </c>
      <c r="C33" s="36" t="n">
        <f aca="false">B33*12</f>
        <v>9600</v>
      </c>
      <c r="D33" s="33" t="s">
        <v>114</v>
      </c>
      <c r="E33" s="34" t="s">
        <v>70</v>
      </c>
      <c r="F33" s="34"/>
      <c r="G33" s="34"/>
      <c r="H33" s="34"/>
      <c r="I33" s="34"/>
      <c r="J33" s="34"/>
      <c r="K33" s="34"/>
      <c r="L33" s="34"/>
      <c r="M33" s="34"/>
      <c r="N33" s="34"/>
      <c r="O33" s="34"/>
    </row>
    <row r="34" customFormat="false" ht="15" hidden="false" customHeight="true" outlineLevel="0" collapsed="false">
      <c r="A34" s="31" t="s">
        <v>126</v>
      </c>
      <c r="B34" s="35" t="n">
        <v>800</v>
      </c>
      <c r="C34" s="36" t="n">
        <f aca="false">B34*12</f>
        <v>9600</v>
      </c>
      <c r="D34" s="33" t="s">
        <v>114</v>
      </c>
      <c r="E34" s="34" t="s">
        <v>70</v>
      </c>
      <c r="F34" s="34"/>
      <c r="G34" s="34"/>
      <c r="H34" s="34"/>
      <c r="I34" s="34"/>
      <c r="J34" s="34"/>
      <c r="K34" s="34"/>
      <c r="L34" s="34"/>
      <c r="M34" s="34"/>
      <c r="N34" s="34"/>
      <c r="O34" s="34"/>
    </row>
    <row r="35" customFormat="false" ht="15" hidden="false" customHeight="true" outlineLevel="0" collapsed="false">
      <c r="A35" s="31" t="s">
        <v>127</v>
      </c>
      <c r="B35" s="35" t="n">
        <v>400</v>
      </c>
      <c r="C35" s="36" t="n">
        <f aca="false">B35*12</f>
        <v>4800</v>
      </c>
      <c r="D35" s="33" t="s">
        <v>114</v>
      </c>
      <c r="E35" s="34" t="s">
        <v>70</v>
      </c>
      <c r="F35" s="34"/>
      <c r="G35" s="34"/>
      <c r="H35" s="34"/>
      <c r="I35" s="34"/>
      <c r="J35" s="34"/>
      <c r="K35" s="34"/>
      <c r="L35" s="34"/>
      <c r="M35" s="34"/>
      <c r="N35" s="34"/>
      <c r="O35" s="34"/>
    </row>
    <row r="36" customFormat="false" ht="18" hidden="false" customHeight="true" outlineLevel="0" collapsed="false">
      <c r="A36" s="37" t="s">
        <v>128</v>
      </c>
      <c r="B36" s="38" t="n">
        <f aca="false">SUM(B24:B35)</f>
        <v>2444.6</v>
      </c>
      <c r="C36" s="38" t="n">
        <f aca="false">B36*12</f>
        <v>29335.2</v>
      </c>
    </row>
    <row r="38" customFormat="false" ht="19.5" hidden="false" customHeight="true" outlineLevel="0" collapsed="false">
      <c r="A38" s="19" t="s">
        <v>129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</row>
    <row r="39" customFormat="false" ht="18" hidden="false" customHeight="true" outlineLevel="0" collapsed="false">
      <c r="A39" s="4" t="s">
        <v>130</v>
      </c>
      <c r="B39" s="4" t="s">
        <v>131</v>
      </c>
      <c r="C39" s="4" t="s">
        <v>66</v>
      </c>
      <c r="D39" s="30" t="s">
        <v>132</v>
      </c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</row>
    <row r="40" customFormat="false" ht="15" hidden="false" customHeight="true" outlineLevel="0" collapsed="false">
      <c r="A40" s="31" t="s">
        <v>133</v>
      </c>
      <c r="B40" s="35" t="n">
        <v>540</v>
      </c>
      <c r="C40" s="39" t="s">
        <v>70</v>
      </c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</row>
    <row r="41" customFormat="false" ht="15" hidden="false" customHeight="true" outlineLevel="0" collapsed="false">
      <c r="A41" s="31" t="s">
        <v>134</v>
      </c>
      <c r="B41" s="35" t="n">
        <v>650</v>
      </c>
      <c r="C41" s="39" t="s">
        <v>70</v>
      </c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</row>
    <row r="42" customFormat="false" ht="15" hidden="false" customHeight="true" outlineLevel="0" collapsed="false">
      <c r="A42" s="31" t="s">
        <v>135</v>
      </c>
      <c r="B42" s="35" t="n">
        <v>315</v>
      </c>
      <c r="C42" s="39" t="s">
        <v>136</v>
      </c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</row>
    <row r="43" customFormat="false" ht="15" hidden="false" customHeight="true" outlineLevel="0" collapsed="false">
      <c r="A43" s="31" t="s">
        <v>137</v>
      </c>
      <c r="B43" s="35" t="n">
        <v>525</v>
      </c>
      <c r="C43" s="39" t="s">
        <v>136</v>
      </c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</row>
    <row r="44" customFormat="false" ht="15" hidden="false" customHeight="true" outlineLevel="0" collapsed="false">
      <c r="A44" s="31" t="s">
        <v>138</v>
      </c>
      <c r="B44" s="35" t="n">
        <v>200</v>
      </c>
      <c r="C44" s="39" t="s">
        <v>136</v>
      </c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</row>
    <row r="45" customFormat="false" ht="15" hidden="false" customHeight="true" outlineLevel="0" collapsed="false">
      <c r="A45" s="31" t="s">
        <v>139</v>
      </c>
      <c r="B45" s="35" t="n">
        <v>300</v>
      </c>
      <c r="C45" s="39" t="s">
        <v>140</v>
      </c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</row>
    <row r="46" customFormat="false" ht="15" hidden="false" customHeight="true" outlineLevel="0" collapsed="false">
      <c r="A46" s="31" t="s">
        <v>141</v>
      </c>
      <c r="B46" s="35" t="n">
        <v>50</v>
      </c>
      <c r="C46" s="39" t="s">
        <v>123</v>
      </c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</row>
    <row r="47" customFormat="false" ht="15" hidden="false" customHeight="true" outlineLevel="0" collapsed="false">
      <c r="A47" s="31" t="s">
        <v>142</v>
      </c>
      <c r="B47" s="35" t="n">
        <v>250</v>
      </c>
      <c r="C47" s="39" t="s">
        <v>123</v>
      </c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</row>
    <row r="48" customFormat="false" ht="18" hidden="false" customHeight="true" outlineLevel="0" collapsed="false">
      <c r="A48" s="37" t="s">
        <v>143</v>
      </c>
      <c r="B48" s="38" t="n">
        <f aca="false">SUM(B40:B47)</f>
        <v>2830</v>
      </c>
    </row>
    <row r="50" customFormat="false" ht="21.75" hidden="false" customHeight="true" outlineLevel="0" collapsed="false">
      <c r="A50" s="40" t="s">
        <v>144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</row>
    <row r="51" customFormat="false" ht="18" hidden="false" customHeight="true" outlineLevel="0" collapsed="false">
      <c r="A51" s="4" t="s">
        <v>145</v>
      </c>
      <c r="B51" s="4" t="s">
        <v>146</v>
      </c>
      <c r="C51" s="4" t="s">
        <v>147</v>
      </c>
      <c r="D51" s="4" t="s">
        <v>148</v>
      </c>
      <c r="E51" s="4" t="s">
        <v>37</v>
      </c>
      <c r="F51" s="4" t="s">
        <v>149</v>
      </c>
      <c r="G51" s="4" t="s">
        <v>34</v>
      </c>
      <c r="H51" s="4" t="s">
        <v>36</v>
      </c>
      <c r="I51" s="4" t="s">
        <v>33</v>
      </c>
      <c r="J51" s="4" t="s">
        <v>35</v>
      </c>
      <c r="K51" s="4" t="s">
        <v>40</v>
      </c>
      <c r="L51" s="4" t="s">
        <v>150</v>
      </c>
      <c r="M51" s="4" t="s">
        <v>151</v>
      </c>
      <c r="N51" s="4" t="s">
        <v>152</v>
      </c>
    </row>
    <row r="52" customFormat="false" ht="15.75" hidden="false" customHeight="true" outlineLevel="0" collapsed="false">
      <c r="A52" s="41" t="s">
        <v>153</v>
      </c>
      <c r="B52" s="42" t="n">
        <v>2</v>
      </c>
      <c r="C52" s="42" t="n">
        <v>5</v>
      </c>
      <c r="D52" s="42" t="n">
        <v>9</v>
      </c>
      <c r="E52" s="42" t="n">
        <v>12</v>
      </c>
      <c r="F52" s="42" t="n">
        <v>16</v>
      </c>
      <c r="G52" s="42" t="n">
        <v>20</v>
      </c>
      <c r="H52" s="42" t="n">
        <v>26</v>
      </c>
      <c r="I52" s="42" t="n">
        <v>31</v>
      </c>
      <c r="J52" s="42" t="n">
        <v>36</v>
      </c>
      <c r="K52" s="42" t="n">
        <v>41</v>
      </c>
      <c r="L52" s="42" t="n">
        <v>46</v>
      </c>
      <c r="M52" s="42" t="n">
        <v>53</v>
      </c>
      <c r="O52" s="43" t="n">
        <f aca="false">SUM(B52:M52)</f>
        <v>297</v>
      </c>
    </row>
    <row r="53" customFormat="false" ht="15.75" hidden="false" customHeight="true" outlineLevel="0" collapsed="false">
      <c r="A53" s="10" t="s">
        <v>154</v>
      </c>
      <c r="B53" s="44" t="n">
        <v>2</v>
      </c>
      <c r="C53" s="44" t="n">
        <v>5</v>
      </c>
      <c r="D53" s="44" t="n">
        <v>9</v>
      </c>
      <c r="E53" s="44" t="n">
        <v>12</v>
      </c>
      <c r="F53" s="44" t="n">
        <v>16</v>
      </c>
      <c r="G53" s="44" t="n">
        <v>21</v>
      </c>
      <c r="H53" s="44" t="n">
        <v>27</v>
      </c>
      <c r="I53" s="44" t="n">
        <v>32</v>
      </c>
      <c r="J53" s="44" t="n">
        <v>38</v>
      </c>
      <c r="K53" s="44" t="n">
        <v>43</v>
      </c>
      <c r="L53" s="44" t="n">
        <v>49</v>
      </c>
      <c r="M53" s="44" t="n">
        <v>56</v>
      </c>
      <c r="O53" s="45" t="n">
        <f aca="false">SUM(B53:M53)</f>
        <v>310</v>
      </c>
    </row>
    <row r="54" customFormat="false" ht="15.75" hidden="false" customHeight="true" outlineLevel="0" collapsed="false">
      <c r="A54" s="31" t="s">
        <v>155</v>
      </c>
      <c r="B54" s="46" t="n">
        <v>318</v>
      </c>
      <c r="C54" s="46" t="n">
        <v>795</v>
      </c>
      <c r="D54" s="46" t="n">
        <v>1431</v>
      </c>
      <c r="E54" s="46" t="n">
        <v>1908</v>
      </c>
      <c r="F54" s="46" t="n">
        <v>2544</v>
      </c>
      <c r="G54" s="46" t="n">
        <v>3339</v>
      </c>
      <c r="H54" s="46" t="n">
        <v>4293</v>
      </c>
      <c r="I54" s="46" t="n">
        <v>5088</v>
      </c>
      <c r="J54" s="46" t="n">
        <v>6042</v>
      </c>
      <c r="K54" s="46" t="n">
        <v>6837</v>
      </c>
      <c r="L54" s="46" t="n">
        <v>7791</v>
      </c>
      <c r="M54" s="46" t="n">
        <v>8904</v>
      </c>
      <c r="O54" s="47" t="n">
        <f aca="false">SUM(B54:M54)</f>
        <v>49290</v>
      </c>
    </row>
    <row r="55" customFormat="false" ht="15.75" hidden="false" customHeight="true" outlineLevel="0" collapsed="false">
      <c r="A55" s="31" t="s">
        <v>156</v>
      </c>
      <c r="B55" s="48" t="n">
        <v>4.95</v>
      </c>
      <c r="C55" s="48" t="n">
        <v>12.38</v>
      </c>
      <c r="D55" s="48" t="n">
        <v>22.28</v>
      </c>
      <c r="E55" s="48" t="n">
        <v>29.71</v>
      </c>
      <c r="F55" s="48" t="n">
        <v>39.62</v>
      </c>
      <c r="G55" s="48" t="n">
        <v>52</v>
      </c>
      <c r="H55" s="48" t="n">
        <v>66.85</v>
      </c>
      <c r="I55" s="48" t="n">
        <v>79.23</v>
      </c>
      <c r="J55" s="48" t="n">
        <v>94.09</v>
      </c>
      <c r="K55" s="48" t="n">
        <v>106.47</v>
      </c>
      <c r="L55" s="48" t="n">
        <v>121.32</v>
      </c>
      <c r="M55" s="48" t="n">
        <v>138.66</v>
      </c>
      <c r="O55" s="49" t="n">
        <f aca="false">SUM(B55:M55)</f>
        <v>767.56</v>
      </c>
    </row>
    <row r="56" customFormat="false" ht="15.75" hidden="false" customHeight="true" outlineLevel="0" collapsed="false">
      <c r="A56" s="11" t="s">
        <v>157</v>
      </c>
      <c r="B56" s="50" t="n">
        <v>313.05</v>
      </c>
      <c r="C56" s="50" t="n">
        <v>782.62</v>
      </c>
      <c r="D56" s="50" t="n">
        <v>1408.72</v>
      </c>
      <c r="E56" s="50" t="n">
        <v>1878.29</v>
      </c>
      <c r="F56" s="50" t="n">
        <v>2504.38</v>
      </c>
      <c r="G56" s="50" t="n">
        <v>3287</v>
      </c>
      <c r="H56" s="50" t="n">
        <v>4226.15</v>
      </c>
      <c r="I56" s="50" t="n">
        <v>5008.77</v>
      </c>
      <c r="J56" s="50" t="n">
        <v>5947.91</v>
      </c>
      <c r="K56" s="50" t="n">
        <v>6730.53</v>
      </c>
      <c r="L56" s="50" t="n">
        <v>7669.68</v>
      </c>
      <c r="M56" s="50" t="n">
        <v>8765.34</v>
      </c>
      <c r="O56" s="51" t="n">
        <f aca="false">SUM(B56:M56)</f>
        <v>48522.44</v>
      </c>
    </row>
    <row r="57" customFormat="false" ht="15.75" hidden="false" customHeight="true" outlineLevel="0" collapsed="false">
      <c r="A57" s="52" t="s">
        <v>158</v>
      </c>
      <c r="B57" s="53" t="n">
        <v>0</v>
      </c>
      <c r="C57" s="53" t="n">
        <v>0</v>
      </c>
      <c r="D57" s="53" t="n">
        <v>0</v>
      </c>
      <c r="E57" s="53" t="n">
        <v>0</v>
      </c>
      <c r="F57" s="53" t="n">
        <v>0</v>
      </c>
      <c r="G57" s="53" t="n">
        <v>0</v>
      </c>
      <c r="H57" s="53" t="n">
        <v>0</v>
      </c>
      <c r="I57" s="53" t="n">
        <v>0</v>
      </c>
      <c r="J57" s="53" t="n">
        <v>0</v>
      </c>
      <c r="K57" s="53" t="n">
        <v>0</v>
      </c>
      <c r="L57" s="53" t="n">
        <v>0</v>
      </c>
      <c r="M57" s="53" t="n">
        <v>0</v>
      </c>
      <c r="O57" s="54" t="n">
        <f aca="false">SUM(B57:M57)</f>
        <v>0</v>
      </c>
    </row>
    <row r="58" customFormat="false" ht="15.75" hidden="false" customHeight="true" outlineLevel="0" collapsed="false">
      <c r="A58" s="55" t="s">
        <v>159</v>
      </c>
      <c r="B58" s="56" t="n">
        <v>2444.6</v>
      </c>
      <c r="C58" s="56" t="n">
        <v>2444.6</v>
      </c>
      <c r="D58" s="56" t="n">
        <v>2444.6</v>
      </c>
      <c r="E58" s="56" t="n">
        <v>2444.6</v>
      </c>
      <c r="F58" s="56" t="n">
        <v>2444.6</v>
      </c>
      <c r="G58" s="56" t="n">
        <v>2444.6</v>
      </c>
      <c r="H58" s="56" t="n">
        <v>2444.6</v>
      </c>
      <c r="I58" s="56" t="n">
        <v>2444.6</v>
      </c>
      <c r="J58" s="56" t="n">
        <v>2444.6</v>
      </c>
      <c r="K58" s="56" t="n">
        <v>2444.6</v>
      </c>
      <c r="L58" s="56" t="n">
        <v>2444.6</v>
      </c>
      <c r="M58" s="56" t="n">
        <v>2444.6</v>
      </c>
      <c r="O58" s="57" t="n">
        <f aca="false">SUM(B58:M58)</f>
        <v>29335.2</v>
      </c>
    </row>
    <row r="59" customFormat="false" ht="15.75" hidden="false" customHeight="true" outlineLevel="0" collapsed="false">
      <c r="A59" s="5" t="s">
        <v>160</v>
      </c>
      <c r="B59" s="58" t="n">
        <v>-2131.55</v>
      </c>
      <c r="C59" s="58" t="n">
        <v>-1661.98</v>
      </c>
      <c r="D59" s="58" t="n">
        <v>-1035.88</v>
      </c>
      <c r="E59" s="58" t="n">
        <v>-566.31</v>
      </c>
      <c r="F59" s="59" t="n">
        <v>59.78</v>
      </c>
      <c r="G59" s="59" t="n">
        <v>842.4</v>
      </c>
      <c r="H59" s="59" t="n">
        <v>1781.55</v>
      </c>
      <c r="I59" s="59" t="n">
        <v>2564.17</v>
      </c>
      <c r="J59" s="59" t="n">
        <v>3503.31</v>
      </c>
      <c r="K59" s="59" t="n">
        <v>4285.93</v>
      </c>
      <c r="L59" s="59" t="n">
        <v>5225.08</v>
      </c>
      <c r="M59" s="59" t="n">
        <v>6320.74</v>
      </c>
      <c r="O59" s="60" t="n">
        <f aca="false">SUM(B59:M59)</f>
        <v>19187.24</v>
      </c>
    </row>
    <row r="60" customFormat="false" ht="15.75" hidden="false" customHeight="true" outlineLevel="0" collapsed="false">
      <c r="A60" s="61" t="s">
        <v>161</v>
      </c>
      <c r="B60" s="62" t="n">
        <v>-2131.55</v>
      </c>
      <c r="C60" s="62" t="n">
        <v>-3793.53</v>
      </c>
      <c r="D60" s="62" t="n">
        <v>-4829.42</v>
      </c>
      <c r="E60" s="62" t="n">
        <v>-5395.73</v>
      </c>
      <c r="F60" s="62" t="n">
        <v>-5335.94</v>
      </c>
      <c r="G60" s="62" t="n">
        <v>-4493.54</v>
      </c>
      <c r="H60" s="62" t="n">
        <v>-2711.99</v>
      </c>
      <c r="I60" s="62" t="n">
        <v>-147.82</v>
      </c>
      <c r="J60" s="62" t="n">
        <v>3355.49</v>
      </c>
      <c r="K60" s="62" t="n">
        <v>7641.42</v>
      </c>
      <c r="L60" s="62" t="n">
        <v>12866.5</v>
      </c>
      <c r="M60" s="62" t="n">
        <v>19187.24</v>
      </c>
      <c r="O60" s="60" t="n">
        <f aca="false">SUM(B60:M60)</f>
        <v>14211.13</v>
      </c>
    </row>
    <row r="61" customFormat="false" ht="18" hidden="false" customHeight="true" outlineLevel="0" collapsed="false">
      <c r="A61" s="70" t="s">
        <v>218</v>
      </c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</row>
    <row r="63" customFormat="false" ht="21.75" hidden="false" customHeight="true" outlineLevel="0" collapsed="false">
      <c r="A63" s="64" t="s">
        <v>163</v>
      </c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</row>
    <row r="64" customFormat="false" ht="18" hidden="false" customHeight="true" outlineLevel="0" collapsed="false">
      <c r="A64" s="65" t="s">
        <v>145</v>
      </c>
      <c r="B64" s="65" t="s">
        <v>146</v>
      </c>
      <c r="C64" s="65" t="s">
        <v>147</v>
      </c>
      <c r="D64" s="65" t="s">
        <v>148</v>
      </c>
      <c r="E64" s="65" t="s">
        <v>37</v>
      </c>
      <c r="F64" s="65" t="s">
        <v>149</v>
      </c>
      <c r="G64" s="65" t="s">
        <v>34</v>
      </c>
      <c r="H64" s="65" t="s">
        <v>36</v>
      </c>
      <c r="I64" s="65" t="s">
        <v>33</v>
      </c>
      <c r="J64" s="65" t="s">
        <v>35</v>
      </c>
      <c r="K64" s="65" t="s">
        <v>40</v>
      </c>
      <c r="L64" s="65" t="s">
        <v>150</v>
      </c>
      <c r="M64" s="65" t="s">
        <v>151</v>
      </c>
      <c r="N64" s="65" t="s">
        <v>152</v>
      </c>
    </row>
    <row r="65" customFormat="false" ht="15.75" hidden="false" customHeight="true" outlineLevel="0" collapsed="false">
      <c r="A65" s="41" t="s">
        <v>153</v>
      </c>
      <c r="B65" s="42" t="n">
        <v>4</v>
      </c>
      <c r="C65" s="42" t="n">
        <v>9</v>
      </c>
      <c r="D65" s="42" t="n">
        <v>14</v>
      </c>
      <c r="E65" s="42" t="n">
        <v>19</v>
      </c>
      <c r="F65" s="42" t="n">
        <v>24</v>
      </c>
      <c r="G65" s="42" t="n">
        <v>30</v>
      </c>
      <c r="H65" s="42" t="n">
        <v>36</v>
      </c>
      <c r="I65" s="42" t="n">
        <v>42</v>
      </c>
      <c r="J65" s="42" t="n">
        <v>48</v>
      </c>
      <c r="K65" s="42" t="n">
        <v>54</v>
      </c>
      <c r="L65" s="42" t="n">
        <v>61</v>
      </c>
      <c r="M65" s="42" t="n">
        <v>68</v>
      </c>
      <c r="O65" s="43" t="n">
        <f aca="false">SUM(B65:M65)</f>
        <v>409</v>
      </c>
    </row>
    <row r="66" customFormat="false" ht="15.75" hidden="false" customHeight="true" outlineLevel="0" collapsed="false">
      <c r="A66" s="15" t="s">
        <v>154</v>
      </c>
      <c r="B66" s="66" t="n">
        <v>4</v>
      </c>
      <c r="C66" s="66" t="n">
        <v>9</v>
      </c>
      <c r="D66" s="66" t="n">
        <v>14</v>
      </c>
      <c r="E66" s="66" t="n">
        <v>19</v>
      </c>
      <c r="F66" s="66" t="n">
        <v>25</v>
      </c>
      <c r="G66" s="66" t="n">
        <v>31</v>
      </c>
      <c r="H66" s="66" t="n">
        <v>38</v>
      </c>
      <c r="I66" s="66" t="n">
        <v>44</v>
      </c>
      <c r="J66" s="66" t="n">
        <v>51</v>
      </c>
      <c r="K66" s="66" t="n">
        <v>57</v>
      </c>
      <c r="L66" s="66" t="n">
        <v>64</v>
      </c>
      <c r="M66" s="66" t="n">
        <v>72</v>
      </c>
      <c r="O66" s="67" t="n">
        <f aca="false">SUM(B66:M66)</f>
        <v>428</v>
      </c>
    </row>
    <row r="67" customFormat="false" ht="15.75" hidden="false" customHeight="true" outlineLevel="0" collapsed="false">
      <c r="A67" s="31" t="s">
        <v>155</v>
      </c>
      <c r="B67" s="46" t="n">
        <v>636</v>
      </c>
      <c r="C67" s="46" t="n">
        <v>1431</v>
      </c>
      <c r="D67" s="46" t="n">
        <v>2226</v>
      </c>
      <c r="E67" s="46" t="n">
        <v>3021</v>
      </c>
      <c r="F67" s="46" t="n">
        <v>3975</v>
      </c>
      <c r="G67" s="46" t="n">
        <v>4929</v>
      </c>
      <c r="H67" s="46" t="n">
        <v>6042</v>
      </c>
      <c r="I67" s="46" t="n">
        <v>6996</v>
      </c>
      <c r="J67" s="46" t="n">
        <v>8109</v>
      </c>
      <c r="K67" s="46" t="n">
        <v>9063</v>
      </c>
      <c r="L67" s="46" t="n">
        <v>10176</v>
      </c>
      <c r="M67" s="46" t="n">
        <v>11448</v>
      </c>
      <c r="O67" s="47" t="n">
        <f aca="false">SUM(B67:M67)</f>
        <v>68052</v>
      </c>
    </row>
    <row r="68" customFormat="false" ht="15.75" hidden="false" customHeight="true" outlineLevel="0" collapsed="false">
      <c r="A68" s="31" t="s">
        <v>156</v>
      </c>
      <c r="B68" s="48" t="n">
        <v>9.9</v>
      </c>
      <c r="C68" s="48" t="n">
        <v>22.28</v>
      </c>
      <c r="D68" s="48" t="n">
        <v>34.66</v>
      </c>
      <c r="E68" s="48" t="n">
        <v>47.04</v>
      </c>
      <c r="F68" s="48" t="n">
        <v>61.9</v>
      </c>
      <c r="G68" s="48" t="n">
        <v>76.76</v>
      </c>
      <c r="H68" s="48" t="n">
        <v>94.09</v>
      </c>
      <c r="I68" s="48" t="n">
        <v>108.94</v>
      </c>
      <c r="J68" s="48" t="n">
        <v>126.28</v>
      </c>
      <c r="K68" s="48" t="n">
        <v>141.13</v>
      </c>
      <c r="L68" s="48" t="n">
        <v>158.46</v>
      </c>
      <c r="M68" s="48" t="n">
        <v>178.27</v>
      </c>
      <c r="O68" s="49" t="n">
        <f aca="false">SUM(B68:M68)</f>
        <v>1059.71</v>
      </c>
    </row>
    <row r="69" customFormat="false" ht="15.75" hidden="false" customHeight="true" outlineLevel="0" collapsed="false">
      <c r="A69" s="11" t="s">
        <v>157</v>
      </c>
      <c r="B69" s="50" t="n">
        <v>626.1</v>
      </c>
      <c r="C69" s="50" t="n">
        <v>1408.72</v>
      </c>
      <c r="D69" s="50" t="n">
        <v>2191.34</v>
      </c>
      <c r="E69" s="50" t="n">
        <v>2973.96</v>
      </c>
      <c r="F69" s="50" t="n">
        <v>3913.1</v>
      </c>
      <c r="G69" s="50" t="n">
        <v>4852.24</v>
      </c>
      <c r="H69" s="50" t="n">
        <v>5947.91</v>
      </c>
      <c r="I69" s="50" t="n">
        <v>6887.06</v>
      </c>
      <c r="J69" s="50" t="n">
        <v>7982.72</v>
      </c>
      <c r="K69" s="50" t="n">
        <v>8921.87</v>
      </c>
      <c r="L69" s="50" t="n">
        <v>10017.54</v>
      </c>
      <c r="M69" s="50" t="n">
        <v>11269.73</v>
      </c>
      <c r="O69" s="68" t="n">
        <f aca="false">SUM(B69:M69)</f>
        <v>66992.29</v>
      </c>
    </row>
    <row r="70" customFormat="false" ht="15.75" hidden="false" customHeight="true" outlineLevel="0" collapsed="false">
      <c r="A70" s="52" t="s">
        <v>158</v>
      </c>
      <c r="B70" s="53" t="n">
        <v>500</v>
      </c>
      <c r="C70" s="53" t="n">
        <v>500</v>
      </c>
      <c r="D70" s="53" t="n">
        <v>500</v>
      </c>
      <c r="E70" s="53" t="n">
        <v>500</v>
      </c>
      <c r="F70" s="53" t="n">
        <v>500</v>
      </c>
      <c r="G70" s="53" t="n">
        <v>500</v>
      </c>
      <c r="H70" s="53" t="n">
        <v>500</v>
      </c>
      <c r="I70" s="53" t="n">
        <v>500</v>
      </c>
      <c r="J70" s="53" t="n">
        <v>500</v>
      </c>
      <c r="K70" s="53" t="n">
        <v>500</v>
      </c>
      <c r="L70" s="53" t="n">
        <v>500</v>
      </c>
      <c r="M70" s="53" t="n">
        <v>500</v>
      </c>
      <c r="O70" s="54" t="n">
        <f aca="false">SUM(B70:M70)</f>
        <v>6000</v>
      </c>
    </row>
    <row r="71" customFormat="false" ht="15.75" hidden="false" customHeight="true" outlineLevel="0" collapsed="false">
      <c r="A71" s="55" t="s">
        <v>159</v>
      </c>
      <c r="B71" s="56" t="n">
        <v>2444.6</v>
      </c>
      <c r="C71" s="56" t="n">
        <v>2444.6</v>
      </c>
      <c r="D71" s="56" t="n">
        <v>2444.6</v>
      </c>
      <c r="E71" s="56" t="n">
        <v>2444.6</v>
      </c>
      <c r="F71" s="56" t="n">
        <v>2444.6</v>
      </c>
      <c r="G71" s="56" t="n">
        <v>2444.6</v>
      </c>
      <c r="H71" s="56" t="n">
        <v>2444.6</v>
      </c>
      <c r="I71" s="56" t="n">
        <v>2444.6</v>
      </c>
      <c r="J71" s="56" t="n">
        <v>2444.6</v>
      </c>
      <c r="K71" s="56" t="n">
        <v>2444.6</v>
      </c>
      <c r="L71" s="56" t="n">
        <v>2444.6</v>
      </c>
      <c r="M71" s="56" t="n">
        <v>2444.6</v>
      </c>
      <c r="O71" s="57" t="n">
        <f aca="false">SUM(B71:M71)</f>
        <v>29335.2</v>
      </c>
    </row>
    <row r="72" customFormat="false" ht="15.75" hidden="false" customHeight="true" outlineLevel="0" collapsed="false">
      <c r="A72" s="5" t="s">
        <v>160</v>
      </c>
      <c r="B72" s="58" t="n">
        <v>-2318.5</v>
      </c>
      <c r="C72" s="58" t="n">
        <v>-1535.88</v>
      </c>
      <c r="D72" s="58" t="n">
        <v>-753.26</v>
      </c>
      <c r="E72" s="59" t="n">
        <v>29.36</v>
      </c>
      <c r="F72" s="59" t="n">
        <v>968.5</v>
      </c>
      <c r="G72" s="59" t="n">
        <v>1907.64</v>
      </c>
      <c r="H72" s="59" t="n">
        <v>3003.31</v>
      </c>
      <c r="I72" s="59" t="n">
        <v>3942.46</v>
      </c>
      <c r="J72" s="59" t="n">
        <v>5038.12</v>
      </c>
      <c r="K72" s="59" t="n">
        <v>5977.27</v>
      </c>
      <c r="L72" s="59" t="n">
        <v>7072.94</v>
      </c>
      <c r="M72" s="59" t="n">
        <v>8325.13</v>
      </c>
      <c r="O72" s="69" t="n">
        <f aca="false">SUM(B72:M72)</f>
        <v>31657.09</v>
      </c>
    </row>
    <row r="73" customFormat="false" ht="15.75" hidden="false" customHeight="true" outlineLevel="0" collapsed="false">
      <c r="A73" s="61" t="s">
        <v>161</v>
      </c>
      <c r="B73" s="62" t="n">
        <v>-2318.5</v>
      </c>
      <c r="C73" s="62" t="n">
        <v>-3854.39</v>
      </c>
      <c r="D73" s="62" t="n">
        <v>-4607.65</v>
      </c>
      <c r="E73" s="62" t="n">
        <v>-4578.3</v>
      </c>
      <c r="F73" s="62" t="n">
        <v>-3609.8</v>
      </c>
      <c r="G73" s="62" t="n">
        <v>-1702.15</v>
      </c>
      <c r="H73" s="62" t="n">
        <v>1301.16</v>
      </c>
      <c r="I73" s="62" t="n">
        <v>5243.62</v>
      </c>
      <c r="J73" s="62" t="n">
        <v>10281.74</v>
      </c>
      <c r="K73" s="62" t="n">
        <v>16259.01</v>
      </c>
      <c r="L73" s="62" t="n">
        <v>23331.94</v>
      </c>
      <c r="M73" s="62" t="n">
        <v>31657.07</v>
      </c>
      <c r="O73" s="69" t="n">
        <f aca="false">SUM(B73:M73)</f>
        <v>67403.75</v>
      </c>
    </row>
    <row r="74" customFormat="false" ht="18" hidden="false" customHeight="true" outlineLevel="0" collapsed="false">
      <c r="A74" s="70" t="s">
        <v>219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</row>
    <row r="76" customFormat="false" ht="21.75" hidden="false" customHeight="true" outlineLevel="0" collapsed="false">
      <c r="A76" s="71" t="s">
        <v>165</v>
      </c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</row>
    <row r="77" customFormat="false" ht="18" hidden="false" customHeight="true" outlineLevel="0" collapsed="false">
      <c r="A77" s="72" t="s">
        <v>145</v>
      </c>
      <c r="B77" s="72" t="s">
        <v>146</v>
      </c>
      <c r="C77" s="72" t="s">
        <v>147</v>
      </c>
      <c r="D77" s="72" t="s">
        <v>148</v>
      </c>
      <c r="E77" s="72" t="s">
        <v>37</v>
      </c>
      <c r="F77" s="72" t="s">
        <v>149</v>
      </c>
      <c r="G77" s="72" t="s">
        <v>34</v>
      </c>
      <c r="H77" s="72" t="s">
        <v>36</v>
      </c>
      <c r="I77" s="72" t="s">
        <v>33</v>
      </c>
      <c r="J77" s="72" t="s">
        <v>35</v>
      </c>
      <c r="K77" s="72" t="s">
        <v>40</v>
      </c>
      <c r="L77" s="72" t="s">
        <v>150</v>
      </c>
      <c r="M77" s="72" t="s">
        <v>151</v>
      </c>
      <c r="N77" s="72" t="s">
        <v>152</v>
      </c>
    </row>
    <row r="78" customFormat="false" ht="15.75" hidden="false" customHeight="true" outlineLevel="0" collapsed="false">
      <c r="A78" s="41" t="s">
        <v>153</v>
      </c>
      <c r="B78" s="42" t="n">
        <v>6</v>
      </c>
      <c r="C78" s="42" t="n">
        <v>13</v>
      </c>
      <c r="D78" s="42" t="n">
        <v>20</v>
      </c>
      <c r="E78" s="42" t="n">
        <v>27</v>
      </c>
      <c r="F78" s="42" t="n">
        <v>35</v>
      </c>
      <c r="G78" s="42" t="n">
        <v>42</v>
      </c>
      <c r="H78" s="42" t="n">
        <v>49</v>
      </c>
      <c r="I78" s="42" t="n">
        <v>57</v>
      </c>
      <c r="J78" s="42" t="n">
        <v>64</v>
      </c>
      <c r="K78" s="42" t="n">
        <v>71</v>
      </c>
      <c r="L78" s="42" t="n">
        <v>78</v>
      </c>
      <c r="M78" s="42" t="n">
        <v>87</v>
      </c>
      <c r="O78" s="43" t="n">
        <f aca="false">SUM(B78:M78)</f>
        <v>549</v>
      </c>
    </row>
    <row r="79" customFormat="false" ht="15.75" hidden="false" customHeight="true" outlineLevel="0" collapsed="false">
      <c r="A79" s="11" t="s">
        <v>154</v>
      </c>
      <c r="B79" s="73" t="n">
        <v>6</v>
      </c>
      <c r="C79" s="73" t="n">
        <v>13</v>
      </c>
      <c r="D79" s="73" t="n">
        <v>20</v>
      </c>
      <c r="E79" s="73" t="n">
        <v>28</v>
      </c>
      <c r="F79" s="73" t="n">
        <v>36</v>
      </c>
      <c r="G79" s="73" t="n">
        <v>44</v>
      </c>
      <c r="H79" s="73" t="n">
        <v>52</v>
      </c>
      <c r="I79" s="73" t="n">
        <v>60</v>
      </c>
      <c r="J79" s="73" t="n">
        <v>68</v>
      </c>
      <c r="K79" s="73" t="n">
        <v>75</v>
      </c>
      <c r="L79" s="73" t="n">
        <v>83</v>
      </c>
      <c r="M79" s="73" t="n">
        <v>92</v>
      </c>
      <c r="O79" s="74" t="n">
        <f aca="false">SUM(B79:M79)</f>
        <v>577</v>
      </c>
    </row>
    <row r="80" customFormat="false" ht="15.75" hidden="false" customHeight="true" outlineLevel="0" collapsed="false">
      <c r="A80" s="31" t="s">
        <v>155</v>
      </c>
      <c r="B80" s="46" t="n">
        <v>954</v>
      </c>
      <c r="C80" s="46" t="n">
        <v>2067</v>
      </c>
      <c r="D80" s="46" t="n">
        <v>3180</v>
      </c>
      <c r="E80" s="46" t="n">
        <v>4452</v>
      </c>
      <c r="F80" s="46" t="n">
        <v>5724</v>
      </c>
      <c r="G80" s="46" t="n">
        <v>6996</v>
      </c>
      <c r="H80" s="46" t="n">
        <v>8268</v>
      </c>
      <c r="I80" s="46" t="n">
        <v>9540</v>
      </c>
      <c r="J80" s="46" t="n">
        <v>10812</v>
      </c>
      <c r="K80" s="46" t="n">
        <v>11925</v>
      </c>
      <c r="L80" s="46" t="n">
        <v>13197</v>
      </c>
      <c r="M80" s="46" t="n">
        <v>14628</v>
      </c>
      <c r="O80" s="47" t="n">
        <f aca="false">SUM(B80:M80)</f>
        <v>91743</v>
      </c>
    </row>
    <row r="81" customFormat="false" ht="15.75" hidden="false" customHeight="true" outlineLevel="0" collapsed="false">
      <c r="A81" s="31" t="s">
        <v>156</v>
      </c>
      <c r="B81" s="48" t="n">
        <v>14.86</v>
      </c>
      <c r="C81" s="48" t="n">
        <v>32.19</v>
      </c>
      <c r="D81" s="48" t="n">
        <v>49.52</v>
      </c>
      <c r="E81" s="48" t="n">
        <v>69.33</v>
      </c>
      <c r="F81" s="48" t="n">
        <v>89.14</v>
      </c>
      <c r="G81" s="48" t="n">
        <v>108.94</v>
      </c>
      <c r="H81" s="48" t="n">
        <v>128.75</v>
      </c>
      <c r="I81" s="48" t="n">
        <v>148.56</v>
      </c>
      <c r="J81" s="48" t="n">
        <v>168.37</v>
      </c>
      <c r="K81" s="48" t="n">
        <v>185.7</v>
      </c>
      <c r="L81" s="48" t="n">
        <v>205.51</v>
      </c>
      <c r="M81" s="48" t="n">
        <v>227.79</v>
      </c>
      <c r="O81" s="49" t="n">
        <f aca="false">SUM(B81:M81)</f>
        <v>1428.66</v>
      </c>
    </row>
    <row r="82" customFormat="false" ht="15.75" hidden="false" customHeight="true" outlineLevel="0" collapsed="false">
      <c r="A82" s="11" t="s">
        <v>157</v>
      </c>
      <c r="B82" s="50" t="n">
        <v>939.14</v>
      </c>
      <c r="C82" s="50" t="n">
        <v>2034.81</v>
      </c>
      <c r="D82" s="50" t="n">
        <v>3130.48</v>
      </c>
      <c r="E82" s="50" t="n">
        <v>4382.67</v>
      </c>
      <c r="F82" s="50" t="n">
        <v>5634.86</v>
      </c>
      <c r="G82" s="50" t="n">
        <v>6887.06</v>
      </c>
      <c r="H82" s="50" t="n">
        <v>8139.25</v>
      </c>
      <c r="I82" s="50" t="n">
        <v>9391.44</v>
      </c>
      <c r="J82" s="50" t="n">
        <v>10643.63</v>
      </c>
      <c r="K82" s="50" t="n">
        <v>11739.3</v>
      </c>
      <c r="L82" s="50" t="n">
        <v>12991.49</v>
      </c>
      <c r="M82" s="50" t="n">
        <v>14400.21</v>
      </c>
      <c r="O82" s="75" t="n">
        <f aca="false">SUM(B82:M82)</f>
        <v>90314.34</v>
      </c>
    </row>
    <row r="83" customFormat="false" ht="15.75" hidden="false" customHeight="true" outlineLevel="0" collapsed="false">
      <c r="A83" s="52" t="s">
        <v>158</v>
      </c>
      <c r="B83" s="53" t="n">
        <v>1000</v>
      </c>
      <c r="C83" s="53" t="n">
        <v>1000</v>
      </c>
      <c r="D83" s="53" t="n">
        <v>1000</v>
      </c>
      <c r="E83" s="53" t="n">
        <v>1000</v>
      </c>
      <c r="F83" s="53" t="n">
        <v>1000</v>
      </c>
      <c r="G83" s="53" t="n">
        <v>1000</v>
      </c>
      <c r="H83" s="53" t="n">
        <v>1000</v>
      </c>
      <c r="I83" s="53" t="n">
        <v>1000</v>
      </c>
      <c r="J83" s="53" t="n">
        <v>1000</v>
      </c>
      <c r="K83" s="53" t="n">
        <v>1000</v>
      </c>
      <c r="L83" s="53" t="n">
        <v>1000</v>
      </c>
      <c r="M83" s="53" t="n">
        <v>1000</v>
      </c>
      <c r="O83" s="54" t="n">
        <f aca="false">SUM(B83:M83)</f>
        <v>12000</v>
      </c>
    </row>
    <row r="84" customFormat="false" ht="15.75" hidden="false" customHeight="true" outlineLevel="0" collapsed="false">
      <c r="A84" s="55" t="s">
        <v>159</v>
      </c>
      <c r="B84" s="56" t="n">
        <v>2444.6</v>
      </c>
      <c r="C84" s="56" t="n">
        <v>2444.6</v>
      </c>
      <c r="D84" s="56" t="n">
        <v>2444.6</v>
      </c>
      <c r="E84" s="56" t="n">
        <v>2444.6</v>
      </c>
      <c r="F84" s="56" t="n">
        <v>2444.6</v>
      </c>
      <c r="G84" s="56" t="n">
        <v>2444.6</v>
      </c>
      <c r="H84" s="56" t="n">
        <v>2444.6</v>
      </c>
      <c r="I84" s="56" t="n">
        <v>2444.6</v>
      </c>
      <c r="J84" s="56" t="n">
        <v>2444.6</v>
      </c>
      <c r="K84" s="56" t="n">
        <v>2444.6</v>
      </c>
      <c r="L84" s="56" t="n">
        <v>2444.6</v>
      </c>
      <c r="M84" s="56" t="n">
        <v>2444.6</v>
      </c>
      <c r="O84" s="57" t="n">
        <f aca="false">SUM(B84:M84)</f>
        <v>29335.2</v>
      </c>
    </row>
    <row r="85" customFormat="false" ht="15.75" hidden="false" customHeight="true" outlineLevel="0" collapsed="false">
      <c r="A85" s="5" t="s">
        <v>160</v>
      </c>
      <c r="B85" s="58" t="n">
        <v>-2505.46</v>
      </c>
      <c r="C85" s="58" t="n">
        <v>-1409.79</v>
      </c>
      <c r="D85" s="58" t="n">
        <v>-314.12</v>
      </c>
      <c r="E85" s="59" t="n">
        <v>938.07</v>
      </c>
      <c r="F85" s="59" t="n">
        <v>2190.26</v>
      </c>
      <c r="G85" s="59" t="n">
        <v>3442.46</v>
      </c>
      <c r="H85" s="59" t="n">
        <v>4694.65</v>
      </c>
      <c r="I85" s="59" t="n">
        <v>5946.84</v>
      </c>
      <c r="J85" s="59" t="n">
        <v>7199.03</v>
      </c>
      <c r="K85" s="59" t="n">
        <v>8294.7</v>
      </c>
      <c r="L85" s="59" t="n">
        <v>9546.89</v>
      </c>
      <c r="M85" s="59" t="n">
        <v>10955.61</v>
      </c>
      <c r="O85" s="76" t="n">
        <f aca="false">SUM(B85:M85)</f>
        <v>48979.14</v>
      </c>
    </row>
    <row r="86" customFormat="false" ht="15.75" hidden="false" customHeight="true" outlineLevel="0" collapsed="false">
      <c r="A86" s="61" t="s">
        <v>161</v>
      </c>
      <c r="B86" s="62" t="n">
        <v>-2505.46</v>
      </c>
      <c r="C86" s="62" t="n">
        <v>-3915.24</v>
      </c>
      <c r="D86" s="62" t="n">
        <v>-4229.36</v>
      </c>
      <c r="E86" s="62" t="n">
        <v>-3291.29</v>
      </c>
      <c r="F86" s="62" t="n">
        <v>-1101.03</v>
      </c>
      <c r="G86" s="62" t="n">
        <v>2341.43</v>
      </c>
      <c r="H86" s="62" t="n">
        <v>7036.08</v>
      </c>
      <c r="I86" s="62" t="n">
        <v>12982.92</v>
      </c>
      <c r="J86" s="62" t="n">
        <v>20181.95</v>
      </c>
      <c r="K86" s="62" t="n">
        <v>28476.65</v>
      </c>
      <c r="L86" s="62" t="n">
        <v>38023.54</v>
      </c>
      <c r="M86" s="62" t="n">
        <v>48979.15</v>
      </c>
      <c r="O86" s="76" t="n">
        <f aca="false">SUM(B86:M86)</f>
        <v>142979.34</v>
      </c>
    </row>
    <row r="87" customFormat="false" ht="18" hidden="false" customHeight="true" outlineLevel="0" collapsed="false">
      <c r="A87" s="70" t="s">
        <v>220</v>
      </c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</row>
    <row r="89" customFormat="false" ht="19.5" hidden="false" customHeight="true" outlineLevel="0" collapsed="false">
      <c r="A89" s="19" t="s">
        <v>167</v>
      </c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</row>
    <row r="90" customFormat="false" ht="18" hidden="false" customHeight="true" outlineLevel="0" collapsed="false">
      <c r="A90" s="4" t="s">
        <v>168</v>
      </c>
      <c r="B90" s="4" t="s">
        <v>65</v>
      </c>
      <c r="C90" s="30" t="s">
        <v>169</v>
      </c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</row>
    <row r="91" customFormat="false" ht="15.75" hidden="false" customHeight="true" outlineLevel="0" collapsed="false">
      <c r="A91" s="5" t="s">
        <v>9</v>
      </c>
      <c r="B91" s="77" t="s">
        <v>212</v>
      </c>
      <c r="C91" s="34" t="s">
        <v>221</v>
      </c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</row>
    <row r="92" customFormat="false" ht="15.75" hidden="false" customHeight="true" outlineLevel="0" collapsed="false">
      <c r="A92" s="5" t="s">
        <v>89</v>
      </c>
      <c r="B92" s="77" t="s">
        <v>214</v>
      </c>
      <c r="C92" s="34" t="s">
        <v>171</v>
      </c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</row>
    <row r="93" customFormat="false" ht="15.75" hidden="false" customHeight="true" outlineLevel="0" collapsed="false">
      <c r="A93" s="11" t="s">
        <v>41</v>
      </c>
      <c r="B93" s="78" t="s">
        <v>44</v>
      </c>
      <c r="C93" s="34" t="s">
        <v>222</v>
      </c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</row>
    <row r="94" customFormat="false" ht="15.75" hidden="false" customHeight="true" outlineLevel="0" collapsed="false">
      <c r="A94" s="5" t="s">
        <v>173</v>
      </c>
      <c r="B94" s="77" t="s">
        <v>174</v>
      </c>
      <c r="C94" s="34" t="s">
        <v>175</v>
      </c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</row>
    <row r="95" customFormat="false" ht="15.75" hidden="false" customHeight="true" outlineLevel="0" collapsed="false">
      <c r="A95" s="11" t="s">
        <v>176</v>
      </c>
      <c r="B95" s="78" t="s">
        <v>223</v>
      </c>
      <c r="C95" s="34" t="s">
        <v>178</v>
      </c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</row>
    <row r="96" customFormat="false" ht="15.75" hidden="false" customHeight="true" outlineLevel="0" collapsed="false">
      <c r="A96" s="11" t="s">
        <v>179</v>
      </c>
      <c r="B96" s="78" t="s">
        <v>224</v>
      </c>
      <c r="C96" s="34" t="s">
        <v>181</v>
      </c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</row>
    <row r="97" customFormat="false" ht="15.75" hidden="false" customHeight="true" outlineLevel="0" collapsed="false">
      <c r="A97" s="10" t="s">
        <v>102</v>
      </c>
      <c r="B97" s="79" t="s">
        <v>225</v>
      </c>
      <c r="C97" s="34" t="s">
        <v>226</v>
      </c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</row>
    <row r="98" customFormat="false" ht="15.75" hidden="false" customHeight="true" outlineLevel="0" collapsed="false">
      <c r="A98" s="5" t="s">
        <v>184</v>
      </c>
      <c r="B98" s="77" t="s">
        <v>227</v>
      </c>
      <c r="C98" s="34" t="s">
        <v>186</v>
      </c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</row>
    <row r="99" customFormat="false" ht="15.75" hidden="false" customHeight="true" outlineLevel="0" collapsed="false">
      <c r="A99" s="11" t="s">
        <v>187</v>
      </c>
      <c r="B99" s="78" t="s">
        <v>188</v>
      </c>
      <c r="C99" s="34" t="s">
        <v>189</v>
      </c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</row>
  </sheetData>
  <mergeCells count="60">
    <mergeCell ref="A1:O1"/>
    <mergeCell ref="A2:O2"/>
    <mergeCell ref="A4:O4"/>
    <mergeCell ref="D5:O5"/>
    <mergeCell ref="D6:O6"/>
    <mergeCell ref="D7:O7"/>
    <mergeCell ref="D8:O8"/>
    <mergeCell ref="D9:O9"/>
    <mergeCell ref="D10:O10"/>
    <mergeCell ref="D11:O11"/>
    <mergeCell ref="D12:O12"/>
    <mergeCell ref="D13:O13"/>
    <mergeCell ref="D14:O14"/>
    <mergeCell ref="D15:O15"/>
    <mergeCell ref="D16:O16"/>
    <mergeCell ref="D17:O17"/>
    <mergeCell ref="D18:O18"/>
    <mergeCell ref="D19:O19"/>
    <mergeCell ref="D20:O20"/>
    <mergeCell ref="A22:O22"/>
    <mergeCell ref="E23:O23"/>
    <mergeCell ref="E24:O24"/>
    <mergeCell ref="E25:O25"/>
    <mergeCell ref="E26:O26"/>
    <mergeCell ref="E27:O27"/>
    <mergeCell ref="E28:O28"/>
    <mergeCell ref="E29:O29"/>
    <mergeCell ref="E30:O30"/>
    <mergeCell ref="E31:O31"/>
    <mergeCell ref="E32:O32"/>
    <mergeCell ref="E33:O33"/>
    <mergeCell ref="E34:O34"/>
    <mergeCell ref="E35:O35"/>
    <mergeCell ref="A38:O38"/>
    <mergeCell ref="D39:O39"/>
    <mergeCell ref="C40:O40"/>
    <mergeCell ref="C41:O41"/>
    <mergeCell ref="C42:O42"/>
    <mergeCell ref="C43:O43"/>
    <mergeCell ref="C44:O44"/>
    <mergeCell ref="C45:O45"/>
    <mergeCell ref="C46:O46"/>
    <mergeCell ref="C47:O47"/>
    <mergeCell ref="A50:O50"/>
    <mergeCell ref="A61:O61"/>
    <mergeCell ref="A63:O63"/>
    <mergeCell ref="A74:O74"/>
    <mergeCell ref="A76:O76"/>
    <mergeCell ref="A87:O87"/>
    <mergeCell ref="A89:O89"/>
    <mergeCell ref="C90:O90"/>
    <mergeCell ref="C91:O91"/>
    <mergeCell ref="C92:O92"/>
    <mergeCell ref="C93:O93"/>
    <mergeCell ref="C94:O94"/>
    <mergeCell ref="C95:O95"/>
    <mergeCell ref="C96:O96"/>
    <mergeCell ref="C97:O97"/>
    <mergeCell ref="C98:O98"/>
    <mergeCell ref="C99:O9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2026-03-06T09:02:52Z</dcterms:created>
  <dc:creator>openpyxl</dc:creator>
  <dc:description/>
  <dc:language>en-US</dc:language>
  <cp:lastModifiedBy/>
  <dcterms:modified xsi:type="dcterms:W3CDTF">2026-03-06T09:02:52Z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